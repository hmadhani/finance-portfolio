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ummary" sheetId="2" state="visible" r:id="rId2"/>
    <sheet name="Holdings" sheetId="3" state="visible" r:id="rId3"/>
    <sheet name="Trade Log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17">
    <font>
      <name val="Calibri"/>
      <family val="2"/>
      <color theme="1"/>
      <sz val="11"/>
      <scheme val="minor"/>
    </font>
    <font>
      <name val="Calibri"/>
      <b val="1"/>
      <color rgb="001F3864"/>
      <sz val="20"/>
    </font>
    <font>
      <i val="1"/>
      <color rgb="002F5496"/>
      <sz val="12"/>
    </font>
    <font>
      <b val="1"/>
      <color rgb="001F3864"/>
      <sz val="13"/>
    </font>
    <font>
      <i val="1"/>
      <color rgb="00555555"/>
    </font>
    <font>
      <b val="1"/>
      <color rgb="00FFFFFF"/>
      <sz val="10"/>
    </font>
    <font>
      <b val="1"/>
      <color rgb="001F3864"/>
      <sz val="14"/>
    </font>
    <font>
      <i val="1"/>
      <color rgb="00777777"/>
      <sz val="9"/>
    </font>
    <font>
      <name val="Calibri"/>
      <b val="1"/>
      <color rgb="002F5496"/>
      <sz val="13"/>
    </font>
    <font>
      <name val="Calibri"/>
      <b val="1"/>
      <color rgb="00FFFFFF"/>
      <sz val="11"/>
    </font>
    <font>
      <b val="1"/>
    </font>
    <font>
      <color rgb="00C62828"/>
    </font>
    <font>
      <color rgb="002E7D32"/>
    </font>
    <font>
      <b val="1"/>
      <color rgb="00FFFFFF"/>
    </font>
    <font>
      <b val="1"/>
      <color rgb="002E7D32"/>
    </font>
    <font>
      <b val="1"/>
      <color rgb="00333333"/>
    </font>
    <font>
      <b val="1"/>
      <color rgb="00E67E2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2F6FB"/>
        <bgColor rgb="00F2F6FB"/>
      </patternFill>
    </fill>
  </fills>
  <borders count="3">
    <border>
      <left/>
      <right/>
      <top/>
      <bottom/>
      <diagonal/>
    </border>
    <border>
      <left style="thin">
        <color rgb="00B9C6D6"/>
      </left>
      <right style="thin">
        <color rgb="00B9C6D6"/>
      </right>
      <top style="thin">
        <color rgb="00B9C6D6"/>
      </top>
      <bottom style="thin">
        <color rgb="00B9C6D6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3864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center"/>
    </xf>
    <xf numFmtId="164" fontId="6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3" borderId="2" applyAlignment="1" pivotButton="0" quotePrefix="0" xfId="0">
      <alignment horizontal="center" vertical="center" wrapText="1"/>
    </xf>
    <xf numFmtId="0" fontId="10" fillId="0" borderId="1" pivotButton="0" quotePrefix="0" xfId="0"/>
    <xf numFmtId="164" fontId="0" fillId="0" borderId="1" applyAlignment="1" pivotButton="0" quotePrefix="0" xfId="0">
      <alignment horizontal="right"/>
    </xf>
    <xf numFmtId="0" fontId="10" fillId="5" borderId="1" pivotButton="0" quotePrefix="0" xfId="0"/>
    <xf numFmtId="10" fontId="0" fillId="5" borderId="1" applyAlignment="1" pivotButton="0" quotePrefix="0" xfId="0">
      <alignment horizontal="right"/>
    </xf>
    <xf numFmtId="1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4" fontId="11" fillId="0" borderId="1" applyAlignment="1" pivotButton="0" quotePrefix="0" xfId="0">
      <alignment horizontal="right"/>
    </xf>
    <xf numFmtId="0" fontId="0" fillId="5" borderId="1" applyAlignment="1" pivotButton="0" quotePrefix="0" xfId="0">
      <alignment horizontal="left"/>
    </xf>
    <xf numFmtId="4" fontId="0" fillId="5" borderId="1" applyAlignment="1" pivotButton="0" quotePrefix="0" xfId="0">
      <alignment horizontal="right"/>
    </xf>
    <xf numFmtId="164" fontId="0" fillId="5" borderId="1" applyAlignment="1" pivotButton="0" quotePrefix="0" xfId="0">
      <alignment horizontal="right"/>
    </xf>
    <xf numFmtId="164" fontId="12" fillId="5" borderId="1" applyAlignment="1" pivotButton="0" quotePrefix="0" xfId="0">
      <alignment horizontal="right"/>
    </xf>
    <xf numFmtId="164" fontId="11" fillId="5" borderId="1" applyAlignment="1" pivotButton="0" quotePrefix="0" xfId="0">
      <alignment horizontal="right"/>
    </xf>
    <xf numFmtId="164" fontId="12" fillId="0" borderId="1" applyAlignment="1" pivotButton="0" quotePrefix="0" xfId="0">
      <alignment horizontal="right"/>
    </xf>
    <xf numFmtId="0" fontId="13" fillId="2" borderId="1" pivotButton="0" quotePrefix="0" xfId="0"/>
    <xf numFmtId="164" fontId="13" fillId="2" borderId="1" pivotButton="0" quotePrefix="0" xfId="0"/>
    <xf numFmtId="10" fontId="13" fillId="2" borderId="1" pivotButton="0" quotePrefix="0" xfId="0"/>
    <xf numFmtId="0" fontId="0" fillId="0" borderId="1" pivotButton="0" quotePrefix="0" xfId="0"/>
    <xf numFmtId="0" fontId="14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5" borderId="1" pivotButton="0" quotePrefix="0" xfId="0"/>
    <xf numFmtId="0" fontId="15" fillId="5" borderId="1" applyAlignment="1" pivotButton="0" quotePrefix="0" xfId="0">
      <alignment horizontal="center"/>
    </xf>
    <xf numFmtId="0" fontId="0" fillId="5" borderId="1" applyAlignment="1" pivotButton="0" quotePrefix="0" xfId="0">
      <alignment vertical="top" wrapText="1"/>
    </xf>
    <xf numFmtId="0" fontId="15" fillId="0" borderId="1" applyAlignment="1" pivotButton="0" quotePrefix="0" xfId="0">
      <alignment horizontal="center"/>
    </xf>
    <xf numFmtId="0" fontId="14" fillId="5" borderId="1" applyAlignment="1" pivotButton="0" quotePrefix="0" xfId="0">
      <alignment horizontal="center"/>
    </xf>
    <xf numFmtId="0" fontId="16" fillId="0" borderId="1" applyAlignment="1" pivotButton="0" quotePrefix="0" xfId="0">
      <alignment horizontal="center"/>
    </xf>
  </cellXfs>
  <cellStyles count="1">
    <cellStyle name="Normal" xfId="0" builtinId="0" hidden="0"/>
  </cellStyles>
  <dxfs count="1">
    <dxf>
      <font>
        <color rgb="00C6282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Theme Exposure (% NAV)</a:t>
            </a:r>
          </a:p>
        </rich>
      </tx>
    </title>
    <plotArea>
      <pieChart>
        <varyColors val="1"/>
        <ser>
          <idx val="0"/>
          <order val="0"/>
          <tx>
            <strRef>
              <f>'Charts'!B3</f>
            </strRef>
          </tx>
          <spPr>
            <a:ln>
              <a:prstDash val="solid"/>
            </a:ln>
          </spPr>
          <cat>
            <numRef>
              <f>'Charts'!$A$4:$A$11</f>
            </numRef>
          </cat>
          <val>
            <numRef>
              <f>'Charts'!$B$4:$B$11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Return Trend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'Charts'!B26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'Charts'!$A$27:$A$43</f>
            </numRef>
          </cat>
          <val>
            <numRef>
              <f>'Charts'!$B$27:$B$43</f>
            </numRef>
          </val>
          <smooth val="0"/>
        </ser>
        <ser>
          <idx val="1"/>
          <order val="1"/>
          <tx>
            <strRef>
              <f>'Charts'!C26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'Charts'!$A$27:$A$43</f>
            </numRef>
          </cat>
          <val>
            <numRef>
              <f>'Charts'!$C$27:$C$43</f>
            </numRef>
          </val>
          <smooth val="0"/>
        </ser>
        <ser>
          <idx val="2"/>
          <order val="2"/>
          <tx>
            <strRef>
              <f>'Charts'!D26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'Charts'!$A$27:$A$43</f>
            </numRef>
          </cat>
          <val>
            <numRef>
              <f>'Charts'!$D$27:$D$43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Cycle 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25</row>
      <rowOff>0</rowOff>
    </from>
    <ext cx="79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6" customWidth="1" min="3" max="3"/>
    <col width="26" customWidth="1" min="4" max="4"/>
    <col width="4" customWidth="1" min="5" max="5"/>
  </cols>
  <sheetData>
    <row r="2" ht="30" customHeight="1">
      <c r="A2" s="1" t="n"/>
      <c r="B2" s="2" t="inlineStr">
        <is>
          <t>PORTFOLIO PERFORMANCE REPORT</t>
        </is>
      </c>
      <c r="E2" s="1" t="n"/>
    </row>
    <row r="3">
      <c r="A3" s="1" t="n"/>
      <c r="B3" s="3" t="inlineStr">
        <is>
          <t>2026-Q3 (partial: 2026-08-26 to 2026-09-30)</t>
        </is>
      </c>
      <c r="E3" s="1" t="n"/>
    </row>
    <row r="5">
      <c r="B5" s="4" t="inlineStr">
        <is>
          <t>Prepared for: Mr. Spock — Logical Investor</t>
        </is>
      </c>
    </row>
    <row r="6">
      <c r="B6" s="5" t="inlineStr">
        <is>
          <t>A hypothetical growth-oriented investor in the accumulation phase, governed by a fixed sizing table, a 25% theme-concentration cap, and a wall-clock-derived glide path. See investor-profile.md for the full mandate. Zero real personal data underlies this profile.</t>
        </is>
      </c>
    </row>
    <row r="7"/>
    <row r="8"/>
    <row r="9"/>
    <row r="11">
      <c r="B11" s="6" t="inlineStr">
        <is>
          <t>NAV</t>
        </is>
      </c>
      <c r="C11" s="6" t="inlineStr">
        <is>
          <t>Glide-Path Phase</t>
        </is>
      </c>
      <c r="D11" s="6" t="inlineStr">
        <is>
          <t>Cycle #</t>
        </is>
      </c>
    </row>
    <row r="12" ht="24" customHeight="1">
      <c r="B12" s="7" t="n">
        <v>98660.21000000001</v>
      </c>
      <c r="C12" s="8" t="inlineStr">
        <is>
          <t>Accumulation</t>
        </is>
      </c>
      <c r="D12" s="8" t="n">
        <v>17</v>
      </c>
    </row>
    <row r="15">
      <c r="B15" s="9" t="inlineStr">
        <is>
          <t>IMPORTANT: This is a paper/model portfolio for evaluation purposes only, tracked with public market data alone (no personal financial context). It does not constitute investment advice or a recommendation to buy or sell any security. All investments involve risk, including potential loss of principal. Always consult with qualified financial professionals before making investment decisions.</t>
        </is>
      </c>
    </row>
    <row r="16"/>
    <row r="17"/>
    <row r="18"/>
    <row r="19"/>
  </sheetData>
  <mergeCells count="5">
    <mergeCell ref="B6:D9"/>
    <mergeCell ref="B3:D3"/>
    <mergeCell ref="B5:D5"/>
    <mergeCell ref="B15:D19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9" customWidth="1" min="3" max="3"/>
    <col width="10" customWidth="1" min="4" max="4"/>
  </cols>
  <sheetData>
    <row r="1" ht="22" customHeight="1">
      <c r="A1" s="10" t="inlineStr">
        <is>
          <t>SUMMARY</t>
        </is>
      </c>
    </row>
    <row r="2"/>
    <row r="3">
      <c r="A3" s="11" t="inlineStr">
        <is>
          <t>Metric</t>
        </is>
      </c>
      <c r="B3" s="11" t="inlineStr">
        <is>
          <t>This Portfolio</t>
        </is>
      </c>
      <c r="C3" s="11" t="inlineStr">
        <is>
          <t>Blended Benchmark</t>
        </is>
      </c>
      <c r="D3" s="11" t="inlineStr">
        <is>
          <t>SPY</t>
        </is>
      </c>
    </row>
    <row r="4">
      <c r="A4" s="12" t="inlineStr">
        <is>
          <t>NAV</t>
        </is>
      </c>
      <c r="B4" s="13" t="n">
        <v>98660.21000000001</v>
      </c>
      <c r="C4" s="13" t="n"/>
      <c r="D4" s="13" t="n"/>
    </row>
    <row r="5">
      <c r="A5" s="14" t="inlineStr">
        <is>
          <t>Period Return %</t>
        </is>
      </c>
      <c r="B5" s="15" t="n"/>
      <c r="C5" s="15" t="n">
        <v>0</v>
      </c>
      <c r="D5" s="15" t="n">
        <v>-0.14</v>
      </c>
    </row>
    <row r="6">
      <c r="A6" s="12" t="inlineStr">
        <is>
          <t>Since-Inception Return %</t>
        </is>
      </c>
      <c r="B6" s="16" t="n"/>
      <c r="C6" s="16" t="n"/>
      <c r="D6" s="16" t="n"/>
    </row>
    <row r="7"/>
    <row r="8"/>
    <row r="9">
      <c r="A9" s="10" t="inlineStr">
        <is>
          <t>SLEEVE DRIFT VS. TARGET</t>
        </is>
      </c>
    </row>
    <row r="10">
      <c r="A10" s="11" t="inlineStr">
        <is>
          <t>Sleeve</t>
        </is>
      </c>
      <c r="B10" s="11" t="inlineStr">
        <is>
          <t>Target %</t>
        </is>
      </c>
      <c r="C10" s="11" t="inlineStr">
        <is>
          <t>Current %</t>
        </is>
      </c>
      <c r="D10" s="11" t="inlineStr">
        <is>
          <t>Drift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4" customWidth="1" min="3" max="3"/>
    <col width="10" customWidth="1" min="4" max="4"/>
    <col width="13" customWidth="1" min="5" max="5"/>
    <col width="15" customWidth="1" min="6" max="6"/>
    <col width="11" customWidth="1" min="7" max="7"/>
    <col width="19" customWidth="1" min="8" max="8"/>
    <col width="16" customWidth="1" min="9" max="9"/>
  </cols>
  <sheetData>
    <row r="1" ht="22" customHeight="1">
      <c r="A1" s="10" t="inlineStr">
        <is>
          <t>HOLDINGS</t>
        </is>
      </c>
    </row>
    <row r="2"/>
    <row r="3">
      <c r="A3" s="11" t="inlineStr">
        <is>
          <t>Ticker</t>
        </is>
      </c>
      <c r="B3" s="11" t="inlineStr">
        <is>
          <t>Type</t>
        </is>
      </c>
      <c r="C3" s="11" t="inlineStr">
        <is>
          <t>Theme</t>
        </is>
      </c>
      <c r="D3" s="11" t="inlineStr">
        <is>
          <t>Shares</t>
        </is>
      </c>
      <c r="E3" s="11" t="inlineStr">
        <is>
          <t>Entry Price</t>
        </is>
      </c>
      <c r="F3" s="11" t="inlineStr">
        <is>
          <t>Current Price</t>
        </is>
      </c>
      <c r="G3" s="11" t="inlineStr">
        <is>
          <t>Mkt Value</t>
        </is>
      </c>
      <c r="H3" s="11" t="inlineStr">
        <is>
          <t>% NAV</t>
        </is>
      </c>
      <c r="I3" s="11" t="inlineStr">
        <is>
          <t>Unrealized G/L</t>
        </is>
      </c>
    </row>
    <row r="4">
      <c r="A4" s="17" t="inlineStr">
        <is>
          <t>AVGO</t>
        </is>
      </c>
      <c r="B4" s="17" t="inlineStr">
        <is>
          <t>Stock</t>
        </is>
      </c>
      <c r="C4" s="17" t="inlineStr">
        <is>
          <t>AI-Capex</t>
        </is>
      </c>
      <c r="D4" s="18" t="n">
        <v>14</v>
      </c>
      <c r="E4" s="13" t="n"/>
      <c r="F4" s="13" t="n"/>
      <c r="G4" s="13" t="n">
        <v>4971.4</v>
      </c>
      <c r="H4" s="16" t="n">
        <v>5.04</v>
      </c>
      <c r="I4" s="19" t="n">
        <v>-34.44</v>
      </c>
    </row>
    <row r="5">
      <c r="A5" s="20" t="inlineStr">
        <is>
          <t>ETN</t>
        </is>
      </c>
      <c r="B5" s="20" t="inlineStr">
        <is>
          <t>Stock</t>
        </is>
      </c>
      <c r="C5" s="20" t="inlineStr">
        <is>
          <t>Energy-Transition</t>
        </is>
      </c>
      <c r="D5" s="21" t="n">
        <v>12</v>
      </c>
      <c r="E5" s="22" t="n"/>
      <c r="F5" s="22" t="n"/>
      <c r="G5" s="22" t="n">
        <v>5208</v>
      </c>
      <c r="H5" s="15" t="n">
        <v>5.28</v>
      </c>
      <c r="I5" s="23" t="n">
        <v>252.36</v>
      </c>
    </row>
    <row r="6">
      <c r="A6" s="17" t="inlineStr">
        <is>
          <t>COF</t>
        </is>
      </c>
      <c r="B6" s="17" t="inlineStr">
        <is>
          <t>Stock</t>
        </is>
      </c>
      <c r="C6" s="17" t="inlineStr">
        <is>
          <t>Financials</t>
        </is>
      </c>
      <c r="D6" s="18" t="n">
        <v>35</v>
      </c>
      <c r="E6" s="13" t="n"/>
      <c r="F6" s="13" t="n"/>
      <c r="G6" s="13" t="n">
        <v>7264.25</v>
      </c>
      <c r="H6" s="16" t="n">
        <v>7.36</v>
      </c>
      <c r="I6" s="19" t="n">
        <v>-344.83</v>
      </c>
    </row>
    <row r="7">
      <c r="A7" s="20" t="inlineStr">
        <is>
          <t>LLY</t>
        </is>
      </c>
      <c r="B7" s="20" t="inlineStr">
        <is>
          <t>Stock</t>
        </is>
      </c>
      <c r="C7" s="20" t="inlineStr">
        <is>
          <t>Healthcare-GLP1</t>
        </is>
      </c>
      <c r="D7" s="21" t="n">
        <v>6</v>
      </c>
      <c r="E7" s="22" t="n"/>
      <c r="F7" s="22" t="n"/>
      <c r="G7" s="22" t="n">
        <v>7178.88</v>
      </c>
      <c r="H7" s="15" t="n">
        <v>7.28</v>
      </c>
      <c r="I7" s="23" t="n">
        <v>86.36</v>
      </c>
    </row>
    <row r="8">
      <c r="A8" s="17" t="inlineStr">
        <is>
          <t>TJX</t>
        </is>
      </c>
      <c r="B8" s="17" t="inlineStr">
        <is>
          <t>Stock</t>
        </is>
      </c>
      <c r="C8" s="17" t="inlineStr">
        <is>
          <t>Consumer-Defensive</t>
        </is>
      </c>
      <c r="D8" s="18" t="n">
        <v>35</v>
      </c>
      <c r="E8" s="13" t="n"/>
      <c r="F8" s="13" t="n"/>
      <c r="G8" s="13" t="n">
        <v>4556.65</v>
      </c>
      <c r="H8" s="16" t="n">
        <v>4.62</v>
      </c>
      <c r="I8" s="19" t="n">
        <v>-325.15</v>
      </c>
    </row>
    <row r="9">
      <c r="A9" s="20" t="inlineStr">
        <is>
          <t>GOOGL</t>
        </is>
      </c>
      <c r="B9" s="20" t="inlineStr">
        <is>
          <t>Stock</t>
        </is>
      </c>
      <c r="C9" s="20" t="inlineStr">
        <is>
          <t>AI-Capex</t>
        </is>
      </c>
      <c r="D9" s="21" t="n">
        <v>14</v>
      </c>
      <c r="E9" s="22" t="n"/>
      <c r="F9" s="22" t="n"/>
      <c r="G9" s="22" t="n">
        <v>4772.88</v>
      </c>
      <c r="H9" s="15" t="n">
        <v>4.84</v>
      </c>
      <c r="I9" s="24" t="n">
        <v>-14.42</v>
      </c>
    </row>
    <row r="10">
      <c r="A10" s="17" t="inlineStr">
        <is>
          <t>BALL</t>
        </is>
      </c>
      <c r="B10" s="17" t="inlineStr">
        <is>
          <t>Stock</t>
        </is>
      </c>
      <c r="C10" s="17" t="inlineStr">
        <is>
          <t>Materials</t>
        </is>
      </c>
      <c r="D10" s="18" t="n">
        <v>106</v>
      </c>
      <c r="E10" s="13" t="n"/>
      <c r="F10" s="13" t="n"/>
      <c r="G10" s="13" t="n">
        <v>6234.92</v>
      </c>
      <c r="H10" s="16" t="n">
        <v>6.32</v>
      </c>
      <c r="I10" s="19" t="n">
        <v>-227.88</v>
      </c>
    </row>
    <row r="11">
      <c r="A11" s="20" t="inlineStr">
        <is>
          <t>PEP</t>
        </is>
      </c>
      <c r="B11" s="20" t="inlineStr">
        <is>
          <t>Stock</t>
        </is>
      </c>
      <c r="C11" s="20" t="inlineStr">
        <is>
          <t>Consumer-Defensive</t>
        </is>
      </c>
      <c r="D11" s="21" t="n">
        <v>18</v>
      </c>
      <c r="E11" s="22" t="n"/>
      <c r="F11" s="22" t="n"/>
      <c r="G11" s="22" t="n">
        <v>2315.34</v>
      </c>
      <c r="H11" s="15" t="n">
        <v>2.35</v>
      </c>
      <c r="I11" s="24" t="n">
        <v>-245.52</v>
      </c>
    </row>
    <row r="12">
      <c r="A12" s="17" t="inlineStr">
        <is>
          <t>NEE</t>
        </is>
      </c>
      <c r="B12" s="17" t="inlineStr">
        <is>
          <t>Stock</t>
        </is>
      </c>
      <c r="C12" s="17" t="inlineStr">
        <is>
          <t>AI-Capex</t>
        </is>
      </c>
      <c r="D12" s="18" t="n">
        <v>59</v>
      </c>
      <c r="E12" s="13" t="n"/>
      <c r="F12" s="13" t="n"/>
      <c r="G12" s="13" t="n">
        <v>4453.91</v>
      </c>
      <c r="H12" s="16" t="n">
        <v>4.51</v>
      </c>
      <c r="I12" s="19" t="n">
        <v>-519.2</v>
      </c>
    </row>
    <row r="13">
      <c r="A13" s="20" t="inlineStr">
        <is>
          <t>MU</t>
        </is>
      </c>
      <c r="B13" s="20" t="inlineStr">
        <is>
          <t>Stock</t>
        </is>
      </c>
      <c r="C13" s="20" t="inlineStr">
        <is>
          <t>AI-Capex</t>
        </is>
      </c>
      <c r="D13" s="21" t="n">
        <v>4</v>
      </c>
      <c r="E13" s="22" t="n"/>
      <c r="F13" s="22" t="n"/>
      <c r="G13" s="22" t="n">
        <v>4288</v>
      </c>
      <c r="H13" s="15" t="n">
        <v>4.35</v>
      </c>
      <c r="I13" s="23" t="n">
        <v>567</v>
      </c>
    </row>
    <row r="14">
      <c r="A14" s="17" t="inlineStr">
        <is>
          <t>BHRB</t>
        </is>
      </c>
      <c r="B14" s="17" t="inlineStr">
        <is>
          <t>Stock</t>
        </is>
      </c>
      <c r="C14" s="17" t="inlineStr">
        <is>
          <t>Financials</t>
        </is>
      </c>
      <c r="D14" s="18" t="n">
        <v>69</v>
      </c>
      <c r="E14" s="13" t="n"/>
      <c r="F14" s="13" t="n"/>
      <c r="G14" s="13" t="n">
        <v>5092.2</v>
      </c>
      <c r="H14" s="16" t="n">
        <v>5.16</v>
      </c>
      <c r="I14" s="25" t="n">
        <v>218.73</v>
      </c>
    </row>
    <row r="15">
      <c r="A15" s="20" t="inlineStr">
        <is>
          <t>IMAX</t>
        </is>
      </c>
      <c r="B15" s="20" t="inlineStr">
        <is>
          <t>Stock</t>
        </is>
      </c>
      <c r="C15" s="20" t="inlineStr">
        <is>
          <t>Communication-Services</t>
        </is>
      </c>
      <c r="D15" s="21" t="n">
        <v>93</v>
      </c>
      <c r="E15" s="22" t="n"/>
      <c r="F15" s="22" t="n"/>
      <c r="G15" s="22" t="n">
        <v>4907.61</v>
      </c>
      <c r="H15" s="15" t="n">
        <v>4.97</v>
      </c>
      <c r="I15" s="23" t="n">
        <v>25.11</v>
      </c>
    </row>
    <row r="16">
      <c r="A16" s="17" t="inlineStr">
        <is>
          <t>VRTX</t>
        </is>
      </c>
      <c r="B16" s="17" t="inlineStr">
        <is>
          <t>Stock</t>
        </is>
      </c>
      <c r="C16" s="17" t="inlineStr">
        <is>
          <t>Healthcare-GLP1</t>
        </is>
      </c>
      <c r="D16" s="18" t="n">
        <v>6</v>
      </c>
      <c r="E16" s="13" t="n"/>
      <c r="F16" s="13" t="n"/>
      <c r="G16" s="13" t="n">
        <v>3164.46</v>
      </c>
      <c r="H16" s="16" t="n">
        <v>3.21</v>
      </c>
      <c r="I16" s="25" t="n">
        <v>92.45999999999999</v>
      </c>
    </row>
    <row r="17">
      <c r="A17" s="20" t="inlineStr">
        <is>
          <t>XLK</t>
        </is>
      </c>
      <c r="B17" s="20" t="inlineStr">
        <is>
          <t>Sector ETF</t>
        </is>
      </c>
      <c r="C17" s="20" t="inlineStr">
        <is>
          <t>AI-Capex</t>
        </is>
      </c>
      <c r="D17" s="21" t="n">
        <v>26</v>
      </c>
      <c r="E17" s="22" t="n"/>
      <c r="F17" s="22" t="n"/>
      <c r="G17" s="22" t="n">
        <v>5057.78</v>
      </c>
      <c r="H17" s="15" t="n">
        <v>5.13</v>
      </c>
      <c r="I17" s="23" t="n">
        <v>221.78</v>
      </c>
    </row>
    <row r="18">
      <c r="A18" s="17" t="inlineStr">
        <is>
          <t>XLI</t>
        </is>
      </c>
      <c r="B18" s="17" t="inlineStr">
        <is>
          <t>Sector ETF</t>
        </is>
      </c>
      <c r="C18" s="17" t="inlineStr">
        <is>
          <t>Energy-Transition</t>
        </is>
      </c>
      <c r="D18" s="18" t="n">
        <v>59</v>
      </c>
      <c r="E18" s="13" t="n"/>
      <c r="F18" s="13" t="n"/>
      <c r="G18" s="13" t="n">
        <v>10063.04</v>
      </c>
      <c r="H18" s="16" t="n">
        <v>10.2</v>
      </c>
      <c r="I18" s="19" t="n">
        <v>-908.6</v>
      </c>
    </row>
    <row r="19">
      <c r="A19" s="20" t="inlineStr">
        <is>
          <t>AGG</t>
        </is>
      </c>
      <c r="B19" s="20" t="inlineStr">
        <is>
          <t>Bond</t>
        </is>
      </c>
      <c r="C19" s="20" t="inlineStr">
        <is>
          <t>Diversified-Core</t>
        </is>
      </c>
      <c r="D19" s="21" t="n">
        <v>82</v>
      </c>
      <c r="E19" s="22" t="n"/>
      <c r="F19" s="22" t="n"/>
      <c r="G19" s="22" t="n">
        <v>7892.5</v>
      </c>
      <c r="H19" s="15" t="n">
        <v>8</v>
      </c>
      <c r="I19" s="24" t="n">
        <v>-135.3</v>
      </c>
    </row>
    <row r="20">
      <c r="A20" s="26" t="inlineStr">
        <is>
          <t>TOTAL</t>
        </is>
      </c>
      <c r="B20" s="26" t="n"/>
      <c r="C20" s="26" t="n"/>
      <c r="D20" s="26" t="n"/>
      <c r="E20" s="26" t="n"/>
      <c r="F20" s="26" t="n"/>
      <c r="G20" s="27" t="n">
        <v>87421.82000000001</v>
      </c>
      <c r="H20" s="28" t="n">
        <v>88.61999999999999</v>
      </c>
      <c r="I20" s="26" t="n"/>
    </row>
  </sheetData>
  <conditionalFormatting sqref="I4:I19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1" customWidth="1" min="3" max="3"/>
    <col width="10" customWidth="1" min="4" max="4"/>
    <col width="10" customWidth="1" min="5" max="5"/>
    <col width="20" customWidth="1" min="6" max="6"/>
  </cols>
  <sheetData>
    <row r="1" ht="22" customHeight="1">
      <c r="A1" s="10" t="inlineStr">
        <is>
          <t>TRADE LOG</t>
        </is>
      </c>
    </row>
    <row r="2"/>
    <row r="3">
      <c r="A3" s="11" t="inlineStr">
        <is>
          <t>Date</t>
        </is>
      </c>
      <c r="B3" s="11" t="inlineStr">
        <is>
          <t>Ticker</t>
        </is>
      </c>
      <c r="C3" s="11" t="inlineStr">
        <is>
          <t>Action</t>
        </is>
      </c>
      <c r="D3" s="11" t="inlineStr">
        <is>
          <t>Shares</t>
        </is>
      </c>
      <c r="E3" s="11" t="inlineStr">
        <is>
          <t>Price</t>
        </is>
      </c>
      <c r="F3" s="11" t="inlineStr">
        <is>
          <t>Rationale</t>
        </is>
      </c>
    </row>
    <row r="4" ht="30" customHeight="1">
      <c r="A4" s="29" t="inlineStr">
        <is>
          <t>2026-08-26</t>
        </is>
      </c>
      <c r="B4" s="12" t="inlineStr">
        <is>
          <t>Multiple</t>
        </is>
      </c>
      <c r="C4" s="30" t="inlineStr">
        <is>
          <t>BUY</t>
        </is>
      </c>
      <c r="D4" s="18" t="n"/>
      <c r="E4" s="13" t="n"/>
      <c r="F4" s="31" t="inlineStr">
        <is>
          <t>Inception seed: initial positions opened</t>
        </is>
      </c>
    </row>
    <row r="5" ht="30" customHeight="1">
      <c r="A5" s="32" t="inlineStr">
        <is>
          <t>2026-09-05</t>
        </is>
      </c>
      <c r="B5" s="14" t="inlineStr">
        <is>
          <t>Multiple</t>
        </is>
      </c>
      <c r="C5" s="33" t="inlineStr">
        <is>
          <t>REBALANCE</t>
        </is>
      </c>
      <c r="D5" s="21" t="n"/>
      <c r="E5" s="22" t="n"/>
      <c r="F5" s="34" t="inlineStr">
        <is>
          <t>Theme-cap rebalance after rules change</t>
        </is>
      </c>
    </row>
    <row r="6" ht="30" customHeight="1">
      <c r="A6" s="29" t="inlineStr">
        <is>
          <t>2026-09-08</t>
        </is>
      </c>
      <c r="B6" s="12" t="inlineStr">
        <is>
          <t>Multiple</t>
        </is>
      </c>
      <c r="C6" s="35" t="inlineStr">
        <is>
          <t>REBALANCE</t>
        </is>
      </c>
      <c r="D6" s="18" t="n"/>
      <c r="E6" s="13" t="n"/>
      <c r="F6" s="31" t="inlineStr">
        <is>
          <t>Theme-cap rebalance</t>
        </is>
      </c>
    </row>
    <row r="7" ht="30" customHeight="1">
      <c r="A7" s="32" t="inlineStr">
        <is>
          <t>2026-09-11</t>
        </is>
      </c>
      <c r="B7" s="14" t="inlineStr">
        <is>
          <t>BHRB, IMAX</t>
        </is>
      </c>
      <c r="C7" s="36" t="inlineStr">
        <is>
          <t>BUY</t>
        </is>
      </c>
      <c r="D7" s="21" t="n"/>
      <c r="E7" s="22" t="n"/>
      <c r="F7" s="34" t="inlineStr">
        <is>
          <t>Two new positions opened</t>
        </is>
      </c>
    </row>
    <row r="8" ht="30" customHeight="1">
      <c r="A8" s="29" t="inlineStr">
        <is>
          <t>2026-09-14</t>
        </is>
      </c>
      <c r="B8" s="12" t="inlineStr">
        <is>
          <t>COF, LLY, BALL</t>
        </is>
      </c>
      <c r="C8" s="35" t="inlineStr">
        <is>
          <t>ADD</t>
        </is>
      </c>
      <c r="D8" s="18" t="n"/>
      <c r="E8" s="13" t="n"/>
      <c r="F8" s="31" t="inlineStr">
        <is>
          <t>Three adds plus theme-cap trim</t>
        </is>
      </c>
    </row>
    <row r="9" ht="30" customHeight="1">
      <c r="A9" s="32" t="inlineStr">
        <is>
          <t>2026-09-21</t>
        </is>
      </c>
      <c r="B9" s="14" t="inlineStr">
        <is>
          <t>PEP, VRTX</t>
        </is>
      </c>
      <c r="C9" s="33" t="inlineStr">
        <is>
          <t>TRIM/BUY</t>
        </is>
      </c>
      <c r="D9" s="21" t="n"/>
      <c r="E9" s="22" t="n"/>
      <c r="F9" s="34" t="inlineStr">
        <is>
          <t>PEP trimmed, VRTX opened</t>
        </is>
      </c>
    </row>
    <row r="10" ht="30" customHeight="1">
      <c r="A10" s="29" t="inlineStr">
        <is>
          <t>2026-09-22</t>
        </is>
      </c>
      <c r="B10" s="12" t="inlineStr">
        <is>
          <t>MU</t>
        </is>
      </c>
      <c r="C10" s="37" t="inlineStr">
        <is>
          <t>TRIM</t>
        </is>
      </c>
      <c r="D10" s="18" t="n"/>
      <c r="E10" s="13" t="n"/>
      <c r="F10" s="31" t="inlineStr">
        <is>
          <t>1 share, rebalance - theme cap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9" customWidth="1" min="3" max="3"/>
    <col width="10" customWidth="1" min="4" max="4"/>
  </cols>
  <sheetData>
    <row r="1" ht="22" customHeight="1">
      <c r="A1" s="10" t="inlineStr">
        <is>
          <t>CHARTS</t>
        </is>
      </c>
    </row>
    <row r="2"/>
    <row r="3">
      <c r="A3" s="11" t="inlineStr">
        <is>
          <t>Theme</t>
        </is>
      </c>
      <c r="B3" s="11" t="inlineStr">
        <is>
          <t>% NAV</t>
        </is>
      </c>
    </row>
    <row r="4">
      <c r="A4" s="29" t="inlineStr">
        <is>
          <t>AI-Capex</t>
        </is>
      </c>
      <c r="B4" s="16" t="n">
        <v>23.87</v>
      </c>
    </row>
    <row r="5">
      <c r="A5" s="32" t="inlineStr">
        <is>
          <t>Energy-Transition</t>
        </is>
      </c>
      <c r="B5" s="15" t="n">
        <v>15.48</v>
      </c>
    </row>
    <row r="6">
      <c r="A6" s="29" t="inlineStr">
        <is>
          <t>Financials</t>
        </is>
      </c>
      <c r="B6" s="16" t="n">
        <v>12.52</v>
      </c>
    </row>
    <row r="7">
      <c r="A7" s="32" t="inlineStr">
        <is>
          <t>Healthcare-GLP1</t>
        </is>
      </c>
      <c r="B7" s="15" t="n">
        <v>10.49</v>
      </c>
    </row>
    <row r="8">
      <c r="A8" s="29" t="inlineStr">
        <is>
          <t>Consumer-Defensive</t>
        </is>
      </c>
      <c r="B8" s="16" t="n">
        <v>6.97</v>
      </c>
    </row>
    <row r="9">
      <c r="A9" s="32" t="inlineStr">
        <is>
          <t>Materials</t>
        </is>
      </c>
      <c r="B9" s="15" t="n">
        <v>6.32</v>
      </c>
    </row>
    <row r="10">
      <c r="A10" s="29" t="inlineStr">
        <is>
          <t>Communication-Services</t>
        </is>
      </c>
      <c r="B10" s="16" t="n">
        <v>4.97</v>
      </c>
    </row>
    <row r="11">
      <c r="A11" s="32" t="inlineStr">
        <is>
          <t>Diversified-Core</t>
        </is>
      </c>
      <c r="B11" s="15" t="n">
        <v>8</v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>
      <c r="A26" s="11" t="inlineStr">
        <is>
          <t>Cycle Date</t>
        </is>
      </c>
      <c r="B26" s="11" t="inlineStr">
        <is>
          <t>NAV</t>
        </is>
      </c>
      <c r="C26" s="11" t="inlineStr">
        <is>
          <t>Blended Benchmark</t>
        </is>
      </c>
      <c r="D26" s="11" t="inlineStr">
        <is>
          <t>SPY</t>
        </is>
      </c>
    </row>
    <row r="27">
      <c r="A27" s="29" t="inlineStr">
        <is>
          <t>2026-08-26</t>
        </is>
      </c>
      <c r="B27" s="13" t="n">
        <v>100000</v>
      </c>
      <c r="C27" s="13" t="n"/>
      <c r="D27" s="18" t="n">
        <v>766.08</v>
      </c>
    </row>
    <row r="28">
      <c r="A28" s="32" t="inlineStr">
        <is>
          <t>2026-09-05</t>
        </is>
      </c>
      <c r="B28" s="22" t="n">
        <v>100000</v>
      </c>
      <c r="C28" s="22" t="n"/>
      <c r="D28" s="21" t="n">
        <v>766.08</v>
      </c>
    </row>
    <row r="29">
      <c r="A29" s="29" t="inlineStr">
        <is>
          <t>2026-09-05</t>
        </is>
      </c>
      <c r="B29" s="13" t="n">
        <v>100031.19</v>
      </c>
      <c r="C29" s="13" t="n"/>
      <c r="D29" s="18" t="n">
        <v>770.1900000000001</v>
      </c>
    </row>
    <row r="30">
      <c r="A30" s="32" t="inlineStr">
        <is>
          <t>2026-09-08</t>
        </is>
      </c>
      <c r="B30" s="22" t="n">
        <v>99001.13</v>
      </c>
      <c r="C30" s="22" t="n"/>
      <c r="D30" s="21" t="n">
        <v>770.1900000000001</v>
      </c>
    </row>
    <row r="31">
      <c r="A31" s="29" t="inlineStr">
        <is>
          <t>2026-09-11</t>
        </is>
      </c>
      <c r="B31" s="13" t="n">
        <v>98412.97</v>
      </c>
      <c r="C31" s="13" t="n"/>
      <c r="D31" s="18" t="n">
        <v>757.54</v>
      </c>
    </row>
    <row r="32">
      <c r="A32" s="32" t="inlineStr">
        <is>
          <t>2026-09-14</t>
        </is>
      </c>
      <c r="B32" s="22" t="n">
        <v>98526.03</v>
      </c>
      <c r="C32" s="22" t="n"/>
      <c r="D32" s="21" t="n">
        <v>764.29</v>
      </c>
    </row>
    <row r="33">
      <c r="A33" s="29" t="inlineStr">
        <is>
          <t>2026-09-15</t>
        </is>
      </c>
      <c r="B33" s="13" t="n">
        <v>98903.82000000001</v>
      </c>
      <c r="C33" s="13" t="n"/>
      <c r="D33" s="18" t="n">
        <v>760.88</v>
      </c>
    </row>
    <row r="34">
      <c r="A34" s="32" t="inlineStr">
        <is>
          <t>2026-09-16</t>
        </is>
      </c>
      <c r="B34" s="22" t="n">
        <v>97296.82000000001</v>
      </c>
      <c r="C34" s="22" t="n"/>
      <c r="D34" s="21" t="n">
        <v>760.88</v>
      </c>
    </row>
    <row r="35">
      <c r="A35" s="29" t="inlineStr">
        <is>
          <t>2026-09-17</t>
        </is>
      </c>
      <c r="B35" s="13" t="n">
        <v>97198</v>
      </c>
      <c r="C35" s="13" t="n"/>
      <c r="D35" s="18" t="n">
        <v>754.05</v>
      </c>
    </row>
    <row r="36">
      <c r="A36" s="32" t="inlineStr">
        <is>
          <t>2026-09-18</t>
        </is>
      </c>
      <c r="B36" s="22" t="n">
        <v>97718.10000000001</v>
      </c>
      <c r="C36" s="22" t="n"/>
      <c r="D36" s="21" t="n">
        <v>762.6</v>
      </c>
    </row>
    <row r="37">
      <c r="A37" s="29" t="inlineStr">
        <is>
          <t>2026-09-21</t>
        </is>
      </c>
      <c r="B37" s="13" t="n">
        <v>98571.78999999999</v>
      </c>
      <c r="C37" s="13" t="n"/>
      <c r="D37" s="18" t="n">
        <v>767.48</v>
      </c>
    </row>
    <row r="38">
      <c r="A38" s="32" t="inlineStr">
        <is>
          <t>2026-09-22</t>
        </is>
      </c>
      <c r="B38" s="22" t="n">
        <v>98959.97</v>
      </c>
      <c r="C38" s="22" t="n"/>
      <c r="D38" s="21" t="n">
        <v>767.48</v>
      </c>
    </row>
    <row r="39">
      <c r="A39" s="29" t="inlineStr">
        <is>
          <t>2026-09-23</t>
        </is>
      </c>
      <c r="B39" s="13" t="n">
        <v>99585.03999999999</v>
      </c>
      <c r="C39" s="13" t="n"/>
      <c r="D39" s="18" t="n">
        <v>770.71</v>
      </c>
    </row>
    <row r="40">
      <c r="A40" s="32" t="inlineStr">
        <is>
          <t>2026-09-24</t>
        </is>
      </c>
      <c r="B40" s="22" t="n">
        <v>98790.46000000001</v>
      </c>
      <c r="C40" s="22" t="n"/>
      <c r="D40" s="21" t="n">
        <v>767.8099999999999</v>
      </c>
    </row>
    <row r="41">
      <c r="A41" s="29" t="inlineStr">
        <is>
          <t>2026-09-25</t>
        </is>
      </c>
      <c r="B41" s="13" t="n">
        <v>98649.27</v>
      </c>
      <c r="C41" s="13" t="n"/>
      <c r="D41" s="18" t="n">
        <v>767.38</v>
      </c>
    </row>
    <row r="42">
      <c r="A42" s="32" t="inlineStr">
        <is>
          <t>2026-09-29</t>
        </is>
      </c>
      <c r="B42" s="22" t="n">
        <v>98442.34</v>
      </c>
      <c r="C42" s="22" t="n"/>
      <c r="D42" s="21" t="n">
        <v>765.63</v>
      </c>
    </row>
    <row r="43">
      <c r="A43" s="29" t="inlineStr">
        <is>
          <t>2026-09-30</t>
        </is>
      </c>
      <c r="B43" s="13" t="n">
        <v>98660.21000000001</v>
      </c>
      <c r="C43" s="13" t="n"/>
      <c r="D43" s="18" t="n">
        <v>765.02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2026-10-01T15:19:00Z</dcterms:created>
  <dcterms:modified xsi:type="dcterms:W3CDTF">2026-10-01T15:19:00Z</dcterms:modified>
</cp:coreProperties>
</file>