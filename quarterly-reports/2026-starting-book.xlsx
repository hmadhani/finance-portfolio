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Trade Log" sheetId="4" state="visible" r:id="rId4"/>
    <sheet xmlns:r="http://schemas.openxmlformats.org/officeDocument/2006/relationships" name="Ch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;_($* (#,##0.00);_($* &quot;-&quot;??_);_(@_)"/>
    <numFmt numFmtId="165" formatCode="+0.00%;-0.00%"/>
  </numFmts>
  <fonts count="16">
    <font>
      <name val="Calibri"/>
      <family val="2"/>
      <color theme="1"/>
      <sz val="11"/>
      <scheme val="minor"/>
    </font>
    <font>
      <name val="Calibri"/>
      <b val="1"/>
      <color rgb="001F3864"/>
      <sz val="20"/>
    </font>
    <font>
      <i val="1"/>
      <color rgb="002F5496"/>
      <sz val="12"/>
    </font>
    <font>
      <b val="1"/>
      <color rgb="001F3864"/>
      <sz val="13"/>
    </font>
    <font>
      <i val="1"/>
      <color rgb="00555555"/>
    </font>
    <font>
      <b val="1"/>
      <color rgb="00FFFFFF"/>
      <sz val="10"/>
    </font>
    <font>
      <b val="1"/>
      <color rgb="001F3864"/>
      <sz val="14"/>
    </font>
    <font>
      <i val="1"/>
      <color rgb="00777777"/>
      <sz val="9"/>
    </font>
    <font>
      <name val="Calibri"/>
      <b val="1"/>
      <color rgb="002F5496"/>
      <sz val="13"/>
    </font>
    <font>
      <name val="Calibri"/>
      <b val="1"/>
      <color rgb="00FFFFFF"/>
      <sz val="11"/>
    </font>
    <font>
      <b val="1"/>
    </font>
    <font>
      <b val="1"/>
      <color rgb="00C62828"/>
    </font>
    <font>
      <b val="1"/>
      <color rgb="002E7D32"/>
    </font>
    <font>
      <color rgb="002E7D32"/>
    </font>
    <font>
      <b val="1"/>
      <color rgb="00FFFFFF"/>
    </font>
    <font>
      <b val="1"/>
      <color rgb="00E67E22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2F6FB"/>
        <bgColor rgb="00F2F6FB"/>
      </patternFill>
    </fill>
  </fills>
  <borders count="3">
    <border>
      <left/>
      <right/>
      <top/>
      <bottom/>
      <diagonal/>
    </border>
    <border>
      <left style="thin">
        <color rgb="00B9C6D6"/>
      </left>
      <right style="thin">
        <color rgb="00B9C6D6"/>
      </right>
      <top style="thin">
        <color rgb="00B9C6D6"/>
      </top>
      <bottom style="thin">
        <color rgb="00B9C6D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864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0" fontId="10" fillId="0" borderId="1" pivotButton="0" quotePrefix="0" xfId="0"/>
    <xf numFmtId="164" fontId="0" fillId="0" borderId="1" applyAlignment="1" pivotButton="0" quotePrefix="0" xfId="0">
      <alignment horizontal="right"/>
    </xf>
    <xf numFmtId="0" fontId="10" fillId="5" borderId="1" pivotButton="0" quotePrefix="0" xfId="0"/>
    <xf numFmtId="10" fontId="0" fillId="5" borderId="1" applyAlignment="1" pivotButton="0" quotePrefix="0" xfId="0">
      <alignment horizontal="right"/>
    </xf>
    <xf numFmtId="10" fontId="0" fillId="0" borderId="1" applyAlignment="1" pivotButton="0" quotePrefix="0" xfId="0">
      <alignment horizontal="right"/>
    </xf>
    <xf numFmtId="0" fontId="0" fillId="0" borderId="1" pivotButton="0" quotePrefix="0" xfId="0"/>
    <xf numFmtId="165" fontId="11" fillId="0" borderId="1" applyAlignment="1" pivotButton="0" quotePrefix="0" xfId="0">
      <alignment horizontal="right"/>
    </xf>
    <xf numFmtId="0" fontId="0" fillId="5" borderId="1" pivotButton="0" quotePrefix="0" xfId="0"/>
    <xf numFmtId="165" fontId="11" fillId="5" borderId="1" applyAlignment="1" pivotButton="0" quotePrefix="0" xfId="0">
      <alignment horizontal="right"/>
    </xf>
    <xf numFmtId="165" fontId="12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4" fontId="13" fillId="0" borderId="1" applyAlignment="1" pivotButton="0" quotePrefix="0" xfId="0">
      <alignment horizontal="right"/>
    </xf>
    <xf numFmtId="0" fontId="0" fillId="5" borderId="1" applyAlignment="1" pivotButton="0" quotePrefix="0" xfId="0">
      <alignment horizontal="left"/>
    </xf>
    <xf numFmtId="4" fontId="0" fillId="5" borderId="1" applyAlignment="1" pivotButton="0" quotePrefix="0" xfId="0">
      <alignment horizontal="right"/>
    </xf>
    <xf numFmtId="164" fontId="0" fillId="5" borderId="1" applyAlignment="1" pivotButton="0" quotePrefix="0" xfId="0">
      <alignment horizontal="right"/>
    </xf>
    <xf numFmtId="164" fontId="13" fillId="5" borderId="1" applyAlignment="1" pivotButton="0" quotePrefix="0" xfId="0">
      <alignment horizontal="right"/>
    </xf>
    <xf numFmtId="0" fontId="14" fillId="2" borderId="1" pivotButton="0" quotePrefix="0" xfId="0"/>
    <xf numFmtId="164" fontId="14" fillId="2" borderId="1" pivotButton="0" quotePrefix="0" xfId="0"/>
    <xf numFmtId="10" fontId="14" fillId="2" borderId="1" pivotButton="0" quotePrefix="0" xfId="0"/>
    <xf numFmtId="0" fontId="15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12" fillId="5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12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Sleeve Allocation: Target vs. Current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'Summary'!$A$11:$A$15</f>
            </numRef>
          </cat>
          <val>
            <numRef>
              <f>'Summary'!$B$11:$B$15</f>
            </numRef>
          </val>
        </ser>
        <ser>
          <idx val="1"/>
          <order val="1"/>
          <tx>
            <strRef>
              <f>'Summary'!C10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'Summary'!$A$11:$A$15</f>
            </numRef>
          </cat>
          <val>
            <numRef>
              <f>'Summary'!$C$11:$C$15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NAV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Theme Exposure (% NAV)</a:t>
            </a:r>
          </a:p>
        </rich>
      </tx>
    </title>
    <plotArea>
      <pieChart>
        <varyColors val="1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'Charts'!$B$4:$B$10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Trend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'Charts'!$A$27:$A$28</f>
            </numRef>
          </cat>
          <val>
            <numRef>
              <f>'Charts'!$B$27:$B$28</f>
            </numRef>
          </val>
          <smooth val="0"/>
        </ser>
        <ser>
          <idx val="1"/>
          <order val="1"/>
          <tx>
            <strRef>
              <f>'Charts'!C26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'Charts'!$A$27:$A$28</f>
            </numRef>
          </cat>
          <val>
            <numRef>
              <f>'Charts'!$C$27:$C$28</f>
            </numRef>
          </val>
          <smooth val="0"/>
        </ser>
        <ser>
          <idx val="2"/>
          <order val="2"/>
          <tx>
            <strRef>
              <f>'Charts'!D26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'Charts'!$A$27:$A$28</f>
            </numRef>
          </cat>
          <val>
            <numRef>
              <f>'Charts'!$D$27:$D$28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Cycle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25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6" customWidth="1" min="3" max="3"/>
    <col width="26" customWidth="1" min="4" max="4"/>
    <col width="4" customWidth="1" min="5" max="5"/>
  </cols>
  <sheetData>
    <row r="2" ht="30" customHeight="1">
      <c r="A2" s="1" t="n"/>
      <c r="B2" s="2" t="inlineStr">
        <is>
          <t>PORTFOLIO PERFORMANCE REPORT</t>
        </is>
      </c>
      <c r="E2" s="1" t="n"/>
    </row>
    <row r="3">
      <c r="A3" s="1" t="n"/>
      <c r="B3" s="3" t="inlineStr">
        <is>
          <t>Starting Book — as of 2026-09-05 (Cycle #2)</t>
        </is>
      </c>
      <c r="E3" s="1" t="n"/>
    </row>
    <row r="5">
      <c r="B5" s="4" t="inlineStr">
        <is>
          <t>Prepared for: Mr. Spock — Logical Investor</t>
        </is>
      </c>
    </row>
    <row r="6">
      <c r="B6" s="5" t="inlineStr">
        <is>
          <t>A hypothetical growth-oriented investor in the accumulation phase, governed by a fixed sizing table, a 25% theme-concentration cap, and a wall-clock-derived glide path. See investor-profile.md for the full mandate. Zero real personal data underlies this profile.</t>
        </is>
      </c>
    </row>
    <row r="7"/>
    <row r="8"/>
    <row r="9"/>
    <row r="11">
      <c r="B11" s="6" t="inlineStr">
        <is>
          <t>NAV</t>
        </is>
      </c>
      <c r="C11" s="6" t="inlineStr">
        <is>
          <t>Glide-Path Phase</t>
        </is>
      </c>
      <c r="D11" s="6" t="inlineStr">
        <is>
          <t>Cycle #</t>
        </is>
      </c>
    </row>
    <row r="12" ht="24" customHeight="1">
      <c r="B12" s="7" t="n">
        <v>100000</v>
      </c>
      <c r="C12" s="8" t="inlineStr">
        <is>
          <t>Accumulation</t>
        </is>
      </c>
      <c r="D12" s="8" t="n">
        <v>2</v>
      </c>
    </row>
    <row r="15">
      <c r="B15" s="9" t="inlineStr">
        <is>
          <t>IMPORTANT: This is a paper/model portfolio for evaluation purposes only, tracked with public market data alone (no personal financial context). It does not constitute investment advice or a recommendation to buy or sell any security. All investments involve risk, including potential loss of principal. Always consult with qualified financial professionals before making investment decisions.</t>
        </is>
      </c>
    </row>
    <row r="16"/>
    <row r="17"/>
    <row r="18"/>
    <row r="19"/>
  </sheetData>
  <mergeCells count="5">
    <mergeCell ref="B6:D9"/>
    <mergeCell ref="B3:D3"/>
    <mergeCell ref="B5:D5"/>
    <mergeCell ref="B15:D19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9" customWidth="1" min="3" max="3"/>
    <col width="22" customWidth="1" min="4" max="4"/>
  </cols>
  <sheetData>
    <row r="1" ht="22" customHeight="1">
      <c r="A1" s="10" t="inlineStr">
        <is>
          <t>SUMMARY</t>
        </is>
      </c>
    </row>
    <row r="2"/>
    <row r="3">
      <c r="A3" s="11" t="inlineStr">
        <is>
          <t>Metric</t>
        </is>
      </c>
      <c r="B3" s="11" t="inlineStr">
        <is>
          <t>This Portfolio</t>
        </is>
      </c>
      <c r="C3" s="11" t="inlineStr">
        <is>
          <t>Blended Benchmark</t>
        </is>
      </c>
      <c r="D3" s="11" t="inlineStr">
        <is>
          <t>SPY</t>
        </is>
      </c>
    </row>
    <row r="4">
      <c r="A4" s="12" t="inlineStr">
        <is>
          <t>NAV</t>
        </is>
      </c>
      <c r="B4" s="13" t="n">
        <v>100000</v>
      </c>
      <c r="C4" s="13" t="n"/>
      <c r="D4" s="13" t="n"/>
    </row>
    <row r="5">
      <c r="A5" s="14" t="inlineStr">
        <is>
          <t>Period Return %</t>
        </is>
      </c>
      <c r="B5" s="15" t="n">
        <v>0</v>
      </c>
      <c r="C5" s="15" t="n"/>
      <c r="D5" s="15" t="n">
        <v>0</v>
      </c>
    </row>
    <row r="6">
      <c r="A6" s="12" t="inlineStr">
        <is>
          <t>Since-Inception Return %</t>
        </is>
      </c>
      <c r="B6" s="16" t="n">
        <v>0</v>
      </c>
      <c r="C6" s="16" t="n"/>
      <c r="D6" s="16" t="n">
        <v>0</v>
      </c>
    </row>
    <row r="7"/>
    <row r="8"/>
    <row r="9">
      <c r="A9" s="10" t="inlineStr">
        <is>
          <t>SLEEVE DRIFT VS. TARGET</t>
        </is>
      </c>
    </row>
    <row r="10">
      <c r="A10" s="11" t="inlineStr">
        <is>
          <t>Sleeve</t>
        </is>
      </c>
      <c r="B10" s="11" t="inlineStr">
        <is>
          <t>Target %</t>
        </is>
      </c>
      <c r="C10" s="11" t="inlineStr">
        <is>
          <t>Current %</t>
        </is>
      </c>
      <c r="D10" s="11" t="inlineStr">
        <is>
          <t>Drift</t>
        </is>
      </c>
    </row>
    <row r="11">
      <c r="A11" s="17" t="inlineStr">
        <is>
          <t>Individual Stocks</t>
        </is>
      </c>
      <c r="B11" s="16" t="n">
        <v>0.5</v>
      </c>
      <c r="C11" s="16" t="n">
        <v>0.4906</v>
      </c>
      <c r="D11" s="18" t="n">
        <v>-0.009400000000000019</v>
      </c>
    </row>
    <row r="12">
      <c r="A12" s="19" t="inlineStr">
        <is>
          <t>Sector ETFs</t>
        </is>
      </c>
      <c r="B12" s="15" t="n">
        <v>0.2</v>
      </c>
      <c r="C12" s="15" t="n">
        <v>0.1655</v>
      </c>
      <c r="D12" s="20" t="n">
        <v>-0.0345</v>
      </c>
    </row>
    <row r="13">
      <c r="A13" s="17" t="inlineStr">
        <is>
          <t>Hedge (GLD/IAU)</t>
        </is>
      </c>
      <c r="B13" s="16" t="n">
        <v>0.07000000000000001</v>
      </c>
      <c r="C13" s="16" t="n">
        <v>0</v>
      </c>
      <c r="D13" s="18" t="n">
        <v>-0.07000000000000001</v>
      </c>
    </row>
    <row r="14">
      <c r="A14" s="19" t="inlineStr">
        <is>
          <t>Bonds (AGG)</t>
        </is>
      </c>
      <c r="B14" s="15" t="n">
        <v>0.13</v>
      </c>
      <c r="C14" s="15" t="n">
        <v>0.0803</v>
      </c>
      <c r="D14" s="20" t="n">
        <v>-0.04970000000000001</v>
      </c>
    </row>
    <row r="15">
      <c r="A15" s="17" t="inlineStr">
        <is>
          <t>Cash (floor 10%)</t>
        </is>
      </c>
      <c r="B15" s="16" t="n">
        <v>0.1</v>
      </c>
      <c r="C15" s="16" t="n">
        <v>0.2637</v>
      </c>
      <c r="D15" s="21" t="n">
        <v>0.1637</v>
      </c>
    </row>
  </sheetData>
  <conditionalFormatting sqref="D11:D15">
    <cfRule type="dataBar" priority="1">
      <dataBar showValue="1">
        <cfvo type="num" val="-0.15"/>
        <cfvo type="num" val="0.15"/>
        <color rgb="00F4B183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0" customWidth="1" min="4" max="4"/>
    <col width="13" customWidth="1" min="5" max="5"/>
    <col width="15" customWidth="1" min="6" max="6"/>
    <col width="11" customWidth="1" min="7" max="7"/>
    <col width="10" customWidth="1" min="8" max="8"/>
    <col width="16" customWidth="1" min="9" max="9"/>
  </cols>
  <sheetData>
    <row r="1" ht="22" customHeight="1">
      <c r="A1" s="10" t="inlineStr">
        <is>
          <t>HOLDINGS</t>
        </is>
      </c>
    </row>
    <row r="2"/>
    <row r="3">
      <c r="A3" s="11" t="inlineStr">
        <is>
          <t>Ticker</t>
        </is>
      </c>
      <c r="B3" s="11" t="inlineStr">
        <is>
          <t>Type</t>
        </is>
      </c>
      <c r="C3" s="11" t="inlineStr">
        <is>
          <t>Theme</t>
        </is>
      </c>
      <c r="D3" s="11" t="inlineStr">
        <is>
          <t>Shares</t>
        </is>
      </c>
      <c r="E3" s="11" t="inlineStr">
        <is>
          <t>Entry Price</t>
        </is>
      </c>
      <c r="F3" s="11" t="inlineStr">
        <is>
          <t>Current Price</t>
        </is>
      </c>
      <c r="G3" s="11" t="inlineStr">
        <is>
          <t>Mkt Value</t>
        </is>
      </c>
      <c r="H3" s="11" t="inlineStr">
        <is>
          <t>% NAV</t>
        </is>
      </c>
      <c r="I3" s="11" t="inlineStr">
        <is>
          <t>Unrealized G/L</t>
        </is>
      </c>
    </row>
    <row r="4">
      <c r="A4" s="22" t="inlineStr">
        <is>
          <t>AVGO</t>
        </is>
      </c>
      <c r="B4" s="22" t="inlineStr">
        <is>
          <t>Stock</t>
        </is>
      </c>
      <c r="C4" s="22" t="inlineStr">
        <is>
          <t>AI-Capex</t>
        </is>
      </c>
      <c r="D4" s="23" t="n">
        <v>14</v>
      </c>
      <c r="E4" s="13" t="n">
        <v>357.56</v>
      </c>
      <c r="F4" s="13" t="n">
        <v>357.56</v>
      </c>
      <c r="G4" s="13" t="n">
        <v>5005.84</v>
      </c>
      <c r="H4" s="16" t="n">
        <v>0.0501</v>
      </c>
      <c r="I4" s="24" t="n">
        <v>0</v>
      </c>
    </row>
    <row r="5">
      <c r="A5" s="25" t="inlineStr">
        <is>
          <t>ETN</t>
        </is>
      </c>
      <c r="B5" s="25" t="inlineStr">
        <is>
          <t>Stock</t>
        </is>
      </c>
      <c r="C5" s="25" t="inlineStr">
        <is>
          <t>Energy-Transition</t>
        </is>
      </c>
      <c r="D5" s="26" t="n">
        <v>12</v>
      </c>
      <c r="E5" s="27" t="n">
        <v>412.97</v>
      </c>
      <c r="F5" s="27" t="n">
        <v>412.97</v>
      </c>
      <c r="G5" s="27" t="n">
        <v>4955.64</v>
      </c>
      <c r="H5" s="15" t="n">
        <v>0.0496</v>
      </c>
      <c r="I5" s="28" t="n">
        <v>0</v>
      </c>
    </row>
    <row r="6">
      <c r="A6" s="22" t="inlineStr">
        <is>
          <t>COF</t>
        </is>
      </c>
      <c r="B6" s="22" t="inlineStr">
        <is>
          <t>Stock</t>
        </is>
      </c>
      <c r="C6" s="22" t="inlineStr">
        <is>
          <t>Financials</t>
        </is>
      </c>
      <c r="D6" s="23" t="n">
        <v>23</v>
      </c>
      <c r="E6" s="13" t="n">
        <v>216.96</v>
      </c>
      <c r="F6" s="13" t="n">
        <v>216.96</v>
      </c>
      <c r="G6" s="13" t="n">
        <v>4990.08</v>
      </c>
      <c r="H6" s="16" t="n">
        <v>0.0499</v>
      </c>
      <c r="I6" s="24" t="n">
        <v>0</v>
      </c>
    </row>
    <row r="7">
      <c r="A7" s="25" t="inlineStr">
        <is>
          <t>LLY</t>
        </is>
      </c>
      <c r="B7" s="25" t="inlineStr">
        <is>
          <t>Stock</t>
        </is>
      </c>
      <c r="C7" s="25" t="inlineStr">
        <is>
          <t>Healthcare-GLP1</t>
        </is>
      </c>
      <c r="D7" s="26" t="n">
        <v>4</v>
      </c>
      <c r="E7" s="27" t="n">
        <v>1215.13</v>
      </c>
      <c r="F7" s="27" t="n">
        <v>1215.13</v>
      </c>
      <c r="G7" s="27" t="n">
        <v>4860.52</v>
      </c>
      <c r="H7" s="15" t="n">
        <v>0.0486</v>
      </c>
      <c r="I7" s="28" t="n">
        <v>0</v>
      </c>
    </row>
    <row r="8">
      <c r="A8" s="22" t="inlineStr">
        <is>
          <t>TJX</t>
        </is>
      </c>
      <c r="B8" s="22" t="inlineStr">
        <is>
          <t>Stock</t>
        </is>
      </c>
      <c r="C8" s="22" t="inlineStr">
        <is>
          <t>Consumer-Defensive</t>
        </is>
      </c>
      <c r="D8" s="23" t="n">
        <v>35</v>
      </c>
      <c r="E8" s="13" t="n">
        <v>139.48</v>
      </c>
      <c r="F8" s="13" t="n">
        <v>139.48</v>
      </c>
      <c r="G8" s="13" t="n">
        <v>4881.8</v>
      </c>
      <c r="H8" s="16" t="n">
        <v>0.0488</v>
      </c>
      <c r="I8" s="24" t="n">
        <v>0</v>
      </c>
    </row>
    <row r="9">
      <c r="A9" s="25" t="inlineStr">
        <is>
          <t>GOOGL</t>
        </is>
      </c>
      <c r="B9" s="25" t="inlineStr">
        <is>
          <t>Stock</t>
        </is>
      </c>
      <c r="C9" s="25" t="inlineStr">
        <is>
          <t>AI-Capex</t>
        </is>
      </c>
      <c r="D9" s="26" t="n">
        <v>14</v>
      </c>
      <c r="E9" s="27" t="n">
        <v>341.95</v>
      </c>
      <c r="F9" s="27" t="n">
        <v>341.95</v>
      </c>
      <c r="G9" s="27" t="n">
        <v>4787.3</v>
      </c>
      <c r="H9" s="15" t="n">
        <v>0.0479</v>
      </c>
      <c r="I9" s="28" t="n">
        <v>0</v>
      </c>
    </row>
    <row r="10">
      <c r="A10" s="22" t="inlineStr">
        <is>
          <t>BALL</t>
        </is>
      </c>
      <c r="B10" s="22" t="inlineStr">
        <is>
          <t>Stock</t>
        </is>
      </c>
      <c r="C10" s="22" t="inlineStr">
        <is>
          <t>Materials</t>
        </is>
      </c>
      <c r="D10" s="23" t="n">
        <v>81</v>
      </c>
      <c r="E10" s="13" t="n">
        <v>61.3</v>
      </c>
      <c r="F10" s="13" t="n">
        <v>61.3</v>
      </c>
      <c r="G10" s="13" t="n">
        <v>4965.3</v>
      </c>
      <c r="H10" s="16" t="n">
        <v>0.0497</v>
      </c>
      <c r="I10" s="24" t="n">
        <v>0</v>
      </c>
    </row>
    <row r="11">
      <c r="A11" s="25" t="inlineStr">
        <is>
          <t>PEP</t>
        </is>
      </c>
      <c r="B11" s="25" t="inlineStr">
        <is>
          <t>Stock</t>
        </is>
      </c>
      <c r="C11" s="25" t="inlineStr">
        <is>
          <t>Consumer-Defensive</t>
        </is>
      </c>
      <c r="D11" s="26" t="n">
        <v>35</v>
      </c>
      <c r="E11" s="27" t="n">
        <v>142.27</v>
      </c>
      <c r="F11" s="27" t="n">
        <v>142.27</v>
      </c>
      <c r="G11" s="27" t="n">
        <v>4979.45</v>
      </c>
      <c r="H11" s="15" t="n">
        <v>0.0498</v>
      </c>
      <c r="I11" s="28" t="n">
        <v>0</v>
      </c>
    </row>
    <row r="12">
      <c r="A12" s="22" t="inlineStr">
        <is>
          <t>NEE</t>
        </is>
      </c>
      <c r="B12" s="22" t="inlineStr">
        <is>
          <t>Stock</t>
        </is>
      </c>
      <c r="C12" s="22" t="inlineStr">
        <is>
          <t>AI-Capex</t>
        </is>
      </c>
      <c r="D12" s="23" t="n">
        <v>59</v>
      </c>
      <c r="E12" s="13" t="n">
        <v>84.29000000000001</v>
      </c>
      <c r="F12" s="13" t="n">
        <v>84.29000000000001</v>
      </c>
      <c r="G12" s="13" t="n">
        <v>4973.11</v>
      </c>
      <c r="H12" s="16" t="n">
        <v>0.0497</v>
      </c>
      <c r="I12" s="24" t="n">
        <v>0</v>
      </c>
    </row>
    <row r="13">
      <c r="A13" s="25" t="inlineStr">
        <is>
          <t>MU</t>
        </is>
      </c>
      <c r="B13" s="25" t="inlineStr">
        <is>
          <t>Stock</t>
        </is>
      </c>
      <c r="C13" s="25" t="inlineStr">
        <is>
          <t>AI-Capex</t>
        </is>
      </c>
      <c r="D13" s="26" t="n">
        <v>5</v>
      </c>
      <c r="E13" s="27" t="n">
        <v>930.25</v>
      </c>
      <c r="F13" s="27" t="n">
        <v>930.25</v>
      </c>
      <c r="G13" s="27" t="n">
        <v>4651.25</v>
      </c>
      <c r="H13" s="15" t="n">
        <v>0.0465</v>
      </c>
      <c r="I13" s="28" t="n">
        <v>0</v>
      </c>
    </row>
    <row r="14">
      <c r="A14" s="22" t="inlineStr">
        <is>
          <t>XLK</t>
        </is>
      </c>
      <c r="B14" s="22" t="inlineStr">
        <is>
          <t>Sector ETF</t>
        </is>
      </c>
      <c r="C14" s="22" t="inlineStr">
        <is>
          <t>AI-Capex</t>
        </is>
      </c>
      <c r="D14" s="23" t="n">
        <v>30</v>
      </c>
      <c r="E14" s="13" t="n">
        <v>186</v>
      </c>
      <c r="F14" s="13" t="n">
        <v>186</v>
      </c>
      <c r="G14" s="13" t="n">
        <v>5580</v>
      </c>
      <c r="H14" s="16" t="n">
        <v>0.0558</v>
      </c>
      <c r="I14" s="24" t="n">
        <v>0</v>
      </c>
    </row>
    <row r="15">
      <c r="A15" s="25" t="inlineStr">
        <is>
          <t>XLI</t>
        </is>
      </c>
      <c r="B15" s="25" t="inlineStr">
        <is>
          <t>Sector ETF</t>
        </is>
      </c>
      <c r="C15" s="25" t="inlineStr">
        <is>
          <t>Energy-Transition</t>
        </is>
      </c>
      <c r="D15" s="26" t="n">
        <v>59</v>
      </c>
      <c r="E15" s="27" t="n">
        <v>185.96</v>
      </c>
      <c r="F15" s="27" t="n">
        <v>185.96</v>
      </c>
      <c r="G15" s="27" t="n">
        <v>10971.64</v>
      </c>
      <c r="H15" s="15" t="n">
        <v>0.1097</v>
      </c>
      <c r="I15" s="28" t="n">
        <v>0</v>
      </c>
    </row>
    <row r="16">
      <c r="A16" s="22" t="inlineStr">
        <is>
          <t>AGG</t>
        </is>
      </c>
      <c r="B16" s="22" t="inlineStr">
        <is>
          <t>Bond</t>
        </is>
      </c>
      <c r="C16" s="22" t="inlineStr">
        <is>
          <t>Diversified-Core</t>
        </is>
      </c>
      <c r="D16" s="23" t="n">
        <v>82</v>
      </c>
      <c r="E16" s="13" t="n">
        <v>97.90000000000001</v>
      </c>
      <c r="F16" s="13" t="n">
        <v>97.90000000000001</v>
      </c>
      <c r="G16" s="13" t="n">
        <v>8027.8</v>
      </c>
      <c r="H16" s="16" t="n">
        <v>0.0803</v>
      </c>
      <c r="I16" s="24" t="n">
        <v>0</v>
      </c>
    </row>
    <row r="17">
      <c r="A17" s="25" t="inlineStr">
        <is>
          <t>Cash</t>
        </is>
      </c>
      <c r="B17" s="25" t="inlineStr">
        <is>
          <t>Cash</t>
        </is>
      </c>
      <c r="C17" s="25" t="inlineStr">
        <is>
          <t>—</t>
        </is>
      </c>
      <c r="D17" s="26" t="n"/>
      <c r="E17" s="27" t="n"/>
      <c r="F17" s="27" t="n"/>
      <c r="G17" s="27" t="n">
        <v>26370.27</v>
      </c>
      <c r="H17" s="15" t="n">
        <v>0.2637</v>
      </c>
      <c r="I17" s="27" t="n"/>
    </row>
    <row r="18">
      <c r="A18" s="29" t="inlineStr">
        <is>
          <t>TOTAL</t>
        </is>
      </c>
      <c r="B18" s="29" t="n"/>
      <c r="C18" s="29" t="n"/>
      <c r="D18" s="29" t="n"/>
      <c r="E18" s="29" t="n"/>
      <c r="F18" s="29" t="n"/>
      <c r="G18" s="30" t="n">
        <v>100000</v>
      </c>
      <c r="H18" s="31" t="n">
        <v>1.0001</v>
      </c>
      <c r="I18" s="29" t="n"/>
    </row>
  </sheetData>
  <conditionalFormatting sqref="I4:I17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 ht="22" customHeight="1">
      <c r="A1" s="10" t="inlineStr">
        <is>
          <t>TRADE LOG</t>
        </is>
      </c>
    </row>
    <row r="2"/>
    <row r="3">
      <c r="A3" s="11" t="inlineStr">
        <is>
          <t>Date</t>
        </is>
      </c>
      <c r="B3" s="11" t="inlineStr">
        <is>
          <t>Ticker</t>
        </is>
      </c>
      <c r="C3" s="11" t="inlineStr">
        <is>
          <t>Action</t>
        </is>
      </c>
      <c r="D3" s="11" t="inlineStr">
        <is>
          <t>Shares</t>
        </is>
      </c>
      <c r="E3" s="11" t="inlineStr">
        <is>
          <t>Price</t>
        </is>
      </c>
      <c r="F3" s="11" t="inlineStr">
        <is>
          <t>Rationale</t>
        </is>
      </c>
    </row>
    <row r="4" ht="30" customHeight="1">
      <c r="A4" s="17" t="inlineStr">
        <is>
          <t>2026-09-05</t>
        </is>
      </c>
      <c r="B4" s="12" t="inlineStr">
        <is>
          <t>XLK</t>
        </is>
      </c>
      <c r="C4" s="32" t="inlineStr">
        <is>
          <t>TRIM</t>
        </is>
      </c>
      <c r="D4" s="23" t="n">
        <v>-29</v>
      </c>
      <c r="E4" s="13" t="n">
        <v>186</v>
      </c>
      <c r="F4" s="33" t="inlineStr">
        <is>
          <t>Rebalance — rules change (not a thesis exit). Introduced the 25% theme-concentration cap; AI-Capex (AVGO, GOOGL, NEE, MU, XLK) had drifted to 30.39% NAV. Trimmed XLK from 59 sh to 30 sh, proceeds routed to cash, bringing AI-Capex to 25.00% NAV. No fundamental thesis changed for any of the five AI-Capex positions.</t>
        </is>
      </c>
    </row>
    <row r="5" ht="30" customHeight="1">
      <c r="A5" s="19" t="inlineStr">
        <is>
          <t>2026-08-26</t>
        </is>
      </c>
      <c r="B5" s="14" t="inlineStr">
        <is>
          <t>LLY</t>
        </is>
      </c>
      <c r="C5" s="34" t="inlineStr">
        <is>
          <t>BUY</t>
        </is>
      </c>
      <c r="D5" s="26" t="n">
        <v>4</v>
      </c>
      <c r="E5" s="27" t="n">
        <v>1215.13</v>
      </c>
      <c r="F5" s="35" t="inlineStr">
        <is>
          <t>Q2 2026 revenue +47.7% YoY, EPS beat, raised FY2026 guidance. GLP-1 franchise demand catalyst. Entered on a down day. Stop: guidance cut or GLP-1 share loss.</t>
        </is>
      </c>
    </row>
    <row r="6" ht="30" customHeight="1">
      <c r="A6" s="17" t="inlineStr">
        <is>
          <t>2026-08-26</t>
        </is>
      </c>
      <c r="B6" s="12" t="inlineStr">
        <is>
          <t>TJX</t>
        </is>
      </c>
      <c r="C6" s="36" t="inlineStr">
        <is>
          <t>BUY</t>
        </is>
      </c>
      <c r="D6" s="23" t="n">
        <v>35</v>
      </c>
      <c r="E6" s="13" t="n">
        <v>139.48</v>
      </c>
      <c r="F6" s="33" t="inlineStr">
        <is>
          <t>Off-price model delivering 5% comps; steady grower, not chasing an all-time high. Diversification into defensive-leaning consumer discretionary.</t>
        </is>
      </c>
    </row>
    <row r="7" ht="30" customHeight="1">
      <c r="A7" s="19" t="inlineStr">
        <is>
          <t>2026-08-26</t>
        </is>
      </c>
      <c r="B7" s="14" t="inlineStr">
        <is>
          <t>GOOGL</t>
        </is>
      </c>
      <c r="C7" s="34" t="inlineStr">
        <is>
          <t>BUY</t>
        </is>
      </c>
      <c r="D7" s="26" t="n">
        <v>14</v>
      </c>
      <c r="E7" s="27" t="n">
        <v>341.95</v>
      </c>
      <c r="F7" s="35" t="inlineStr">
        <is>
          <t>Accelerating Google Cloud AI adoption; BNP Paribas Outperform, $420 target. Entered on a down day. Diversification into communication services.</t>
        </is>
      </c>
    </row>
    <row r="8" ht="30" customHeight="1">
      <c r="A8" s="17" t="inlineStr">
        <is>
          <t>2026-08-26</t>
        </is>
      </c>
      <c r="B8" s="12" t="inlineStr">
        <is>
          <t>BALL</t>
        </is>
      </c>
      <c r="C8" s="36" t="inlineStr">
        <is>
          <t>BUY</t>
        </is>
      </c>
      <c r="D8" s="23" t="n">
        <v>81</v>
      </c>
      <c r="E8" s="13" t="n">
        <v>61.3</v>
      </c>
      <c r="F8" s="33" t="inlineStr">
        <is>
          <t>Analysts raised fair-value estimate to $63.26; aluminum-packaging demand recovery. Diversification into materials.</t>
        </is>
      </c>
    </row>
    <row r="9" ht="30" customHeight="1">
      <c r="A9" s="19" t="inlineStr">
        <is>
          <t>2026-08-26</t>
        </is>
      </c>
      <c r="B9" s="14" t="inlineStr">
        <is>
          <t>PEP</t>
        </is>
      </c>
      <c r="C9" s="34" t="inlineStr">
        <is>
          <t>BUY</t>
        </is>
      </c>
      <c r="D9" s="26" t="n">
        <v>35</v>
      </c>
      <c r="E9" s="27" t="n">
        <v>142.27</v>
      </c>
      <c r="F9" s="35" t="inlineStr">
        <is>
          <t>Organic volume growth accelerating to +1% as streamlining pays off; trading below 12-month average target. Diversification into consumer staples.</t>
        </is>
      </c>
    </row>
    <row r="10" ht="30" customHeight="1">
      <c r="A10" s="17" t="inlineStr">
        <is>
          <t>2026-08-26</t>
        </is>
      </c>
      <c r="B10" s="12" t="inlineStr">
        <is>
          <t>NEE</t>
        </is>
      </c>
      <c r="C10" s="36" t="inlineStr">
        <is>
          <t>BUY</t>
        </is>
      </c>
      <c r="D10" s="23" t="n">
        <v>59</v>
      </c>
      <c r="E10" s="13" t="n">
        <v>84.29000000000001</v>
      </c>
      <c r="F10" s="33" t="inlineStr">
        <is>
          <t>$100B data-center campus JV with Brookfield; 21GW large-load pipeline. Diversification into utilities, direct AI power-demand exposure.</t>
        </is>
      </c>
    </row>
    <row r="11" ht="30" customHeight="1">
      <c r="A11" s="19" t="inlineStr">
        <is>
          <t>2026-08-26</t>
        </is>
      </c>
      <c r="B11" s="14" t="inlineStr">
        <is>
          <t>MU</t>
        </is>
      </c>
      <c r="C11" s="34" t="inlineStr">
        <is>
          <t>BUY</t>
        </is>
      </c>
      <c r="D11" s="26" t="n">
        <v>5</v>
      </c>
      <c r="E11" s="27" t="n">
        <v>930.25</v>
      </c>
      <c r="F11" s="35" t="inlineStr">
        <is>
          <t>Fiscal Q2 revenue +196% YoY; HBM supply sold out for 2026. Morgan Stanley top 2026 semiconductor pick. Second AI-infrastructure name (memory vs. networking).</t>
        </is>
      </c>
    </row>
    <row r="12" ht="30" customHeight="1">
      <c r="A12" s="17" t="inlineStr">
        <is>
          <t>2026-08-26</t>
        </is>
      </c>
      <c r="B12" s="12" t="inlineStr">
        <is>
          <t>XLK</t>
        </is>
      </c>
      <c r="C12" s="36" t="inlineStr">
        <is>
          <t>BUY</t>
        </is>
      </c>
      <c r="D12" s="23" t="n">
        <v>59</v>
      </c>
      <c r="E12" s="13" t="n">
        <v>186</v>
      </c>
      <c r="F12" s="33" t="inlineStr">
        <is>
          <t>W4 sector-rotation scan: Tech receiving dominant share of 2026 sector inflows, driven by AI capex. Top accumulation-signal sector.</t>
        </is>
      </c>
    </row>
    <row r="13" ht="30" customHeight="1">
      <c r="A13" s="19" t="inlineStr">
        <is>
          <t>2026-08-26</t>
        </is>
      </c>
      <c r="B13" s="14" t="inlineStr">
        <is>
          <t>XLI</t>
        </is>
      </c>
      <c r="C13" s="34" t="inlineStr">
        <is>
          <t>BUY</t>
        </is>
      </c>
      <c r="D13" s="26" t="n">
        <v>59</v>
      </c>
      <c r="E13" s="27" t="n">
        <v>185.96</v>
      </c>
      <c r="F13" s="35" t="inlineStr">
        <is>
          <t>Best-performing S&amp;P sector YTD 2026 (+19.5%); AI-data-center power/cooling capex and reshoring/logistics demand.</t>
        </is>
      </c>
    </row>
    <row r="14" ht="30" customHeight="1">
      <c r="A14" s="17" t="inlineStr">
        <is>
          <t>2026-08-26</t>
        </is>
      </c>
      <c r="B14" s="12" t="inlineStr">
        <is>
          <t>AVGO</t>
        </is>
      </c>
      <c r="C14" s="36" t="inlineStr">
        <is>
          <t>BUY</t>
        </is>
      </c>
      <c r="D14" s="23" t="n">
        <v>14</v>
      </c>
      <c r="E14" s="13" t="n">
        <v>357.56</v>
      </c>
      <c r="F14" s="33" t="inlineStr">
        <is>
          <t>Record $22.1B quarterly revenue, 25.2% YoY growth, 54.7% EBITDA margin. AI custom-silicon/networking demand tailwind.</t>
        </is>
      </c>
    </row>
    <row r="15" ht="30" customHeight="1">
      <c r="A15" s="19" t="inlineStr">
        <is>
          <t>2026-08-26</t>
        </is>
      </c>
      <c r="B15" s="14" t="inlineStr">
        <is>
          <t>ETN</t>
        </is>
      </c>
      <c r="C15" s="34" t="inlineStr">
        <is>
          <t>BUY</t>
        </is>
      </c>
      <c r="D15" s="26" t="n">
        <v>12</v>
      </c>
      <c r="E15" s="27" t="n">
        <v>412.97</v>
      </c>
      <c r="F15" s="35" t="inlineStr">
        <is>
          <t>Q2 2026 EPS/revenue beat, record 23.1% margin, backlog +43% YoY. Data-center power/cooling demand confirms XLI thesis.</t>
        </is>
      </c>
    </row>
    <row r="16" ht="30" customHeight="1">
      <c r="A16" s="17" t="inlineStr">
        <is>
          <t>2026-08-26</t>
        </is>
      </c>
      <c r="B16" s="12" t="inlineStr">
        <is>
          <t>COF</t>
        </is>
      </c>
      <c r="C16" s="36" t="inlineStr">
        <is>
          <t>BUY</t>
        </is>
      </c>
      <c r="D16" s="23" t="n">
        <v>23</v>
      </c>
      <c r="E16" s="13" t="n">
        <v>216.96</v>
      </c>
      <c r="F16" s="33" t="inlineStr">
        <is>
          <t>Q2 2026 revenue +26% YoY; P/E compressed to ~12.2x. Discover acquisition integration driving growth. Diversification outside AI-infrastructure theme.</t>
        </is>
      </c>
    </row>
    <row r="17" ht="30" customHeight="1">
      <c r="A17" s="19" t="inlineStr">
        <is>
          <t>2026-08-26</t>
        </is>
      </c>
      <c r="B17" s="14" t="inlineStr">
        <is>
          <t>AGG</t>
        </is>
      </c>
      <c r="C17" s="34" t="inlineStr">
        <is>
          <t>BUY</t>
        </is>
      </c>
      <c r="D17" s="26" t="n">
        <v>82</v>
      </c>
      <c r="E17" s="27" t="n">
        <v>97.90000000000001</v>
      </c>
      <c r="F17" s="35" t="inlineStr">
        <is>
          <t>Passive core bond sleeve per fixed sizing rules, ~4.06% dividend yield.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9" customWidth="1" min="3" max="3"/>
    <col width="10" customWidth="1" min="4" max="4"/>
  </cols>
  <sheetData>
    <row r="1" ht="22" customHeight="1">
      <c r="A1" s="10" t="inlineStr">
        <is>
          <t>CHARTS</t>
        </is>
      </c>
    </row>
    <row r="2"/>
    <row r="3">
      <c r="A3" s="11" t="inlineStr">
        <is>
          <t>Theme</t>
        </is>
      </c>
      <c r="B3" s="11" t="inlineStr">
        <is>
          <t>% NAV</t>
        </is>
      </c>
    </row>
    <row r="4">
      <c r="A4" s="17" t="inlineStr">
        <is>
          <t>AI-Capex</t>
        </is>
      </c>
      <c r="B4" s="16" t="n">
        <v>0.25</v>
      </c>
    </row>
    <row r="5">
      <c r="A5" s="19" t="inlineStr">
        <is>
          <t>Financials</t>
        </is>
      </c>
      <c r="B5" s="15" t="n">
        <v>0.0499</v>
      </c>
    </row>
    <row r="6">
      <c r="A6" s="17" t="inlineStr">
        <is>
          <t>Healthcare-GLP1</t>
        </is>
      </c>
      <c r="B6" s="16" t="n">
        <v>0.0486</v>
      </c>
    </row>
    <row r="7">
      <c r="A7" s="19" t="inlineStr">
        <is>
          <t>Consumer-Defensive</t>
        </is>
      </c>
      <c r="B7" s="15" t="n">
        <v>0.09859999999999999</v>
      </c>
    </row>
    <row r="8">
      <c r="A8" s="17" t="inlineStr">
        <is>
          <t>Energy-Transition</t>
        </is>
      </c>
      <c r="B8" s="16" t="n">
        <v>0.1593</v>
      </c>
    </row>
    <row r="9">
      <c r="A9" s="19" t="inlineStr">
        <is>
          <t>Materials</t>
        </is>
      </c>
      <c r="B9" s="15" t="n">
        <v>0.0497</v>
      </c>
    </row>
    <row r="10">
      <c r="A10" s="17" t="inlineStr">
        <is>
          <t>Diversified-Core</t>
        </is>
      </c>
      <c r="B10" s="16" t="n">
        <v>0.0803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>
      <c r="A26" s="11" t="inlineStr">
        <is>
          <t>Cycle Date</t>
        </is>
      </c>
      <c r="B26" s="11" t="inlineStr">
        <is>
          <t>NAV</t>
        </is>
      </c>
      <c r="C26" s="11" t="inlineStr">
        <is>
          <t>Blended Benchmark</t>
        </is>
      </c>
      <c r="D26" s="11" t="inlineStr">
        <is>
          <t>SPY</t>
        </is>
      </c>
    </row>
    <row r="27">
      <c r="A27" s="17" t="inlineStr">
        <is>
          <t>2026-08-26</t>
        </is>
      </c>
      <c r="B27" s="13" t="n">
        <v>100000</v>
      </c>
      <c r="C27" s="13" t="n"/>
      <c r="D27" s="23" t="n">
        <v>766.08</v>
      </c>
    </row>
    <row r="28">
      <c r="A28" s="19" t="inlineStr">
        <is>
          <t>2026-09-05</t>
        </is>
      </c>
      <c r="B28" s="27" t="n">
        <v>100000</v>
      </c>
      <c r="C28" s="27" t="n"/>
      <c r="D28" s="26" t="n">
        <v>766.08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2026-09-05T22:59:39Z</dcterms:created>
  <dcterms:modified xmlns:dcterms="http://purl.org/dc/terms/" xmlns:xsi="http://www.w3.org/2001/XMLSchema-instance" xsi:type="dcterms:W3CDTF">2026-09-05T22:59:39Z</dcterms:modified>
</cp:coreProperties>
</file>