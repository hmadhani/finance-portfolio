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Trade Log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8"/>
    </font>
    <font>
      <i val="1"/>
      <sz val="11"/>
    </font>
    <font>
      <b val="1"/>
      <sz val="13"/>
    </font>
    <font>
      <b val="1"/>
    </font>
    <font>
      <b val="1"/>
      <color rgb="002F5496"/>
      <sz val="14"/>
    </font>
    <font>
      <b val="1"/>
      <color rgb="00FFFFFF"/>
      <sz val="11"/>
    </font>
    <font>
      <b val="1"/>
      <color rgb="002F5496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Theme Exposure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'Charts'!$A$2:$A$8</f>
            </numRef>
          </cat>
          <val>
            <numRef>
              <f>'Charts'!$B$2:$B$8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'Charts'!$A$12:$A$13</f>
            </numRef>
          </cat>
          <val>
            <numRef>
              <f>'Charts'!$B$12:$B$13</f>
            </numRef>
          </val>
        </ser>
        <ser>
          <idx val="1"/>
          <order val="1"/>
          <tx>
            <strRef>
              <f>'Charts'!C11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'Charts'!$A$12:$A$13</f>
            </numRef>
          </cat>
          <val>
            <numRef>
              <f>'Charts'!$C$12:$C$13</f>
            </numRef>
          </val>
        </ser>
        <ser>
          <idx val="2"/>
          <order val="2"/>
          <tx>
            <strRef>
              <f>'Charts'!D11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'Charts'!$A$12:$A$13</f>
            </numRef>
          </cat>
          <val>
            <numRef>
              <f>'Charts'!$D$12:$D$13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PORTFOLIO PERFORMANCE REPORT</t>
        </is>
      </c>
    </row>
    <row r="2">
      <c r="A2" s="2" t="inlineStr">
        <is>
          <t>Period: Starting Book — as of 2026-09-05 (Cycle #2)</t>
        </is>
      </c>
    </row>
    <row r="3"/>
    <row r="4">
      <c r="A4" s="3" t="inlineStr">
        <is>
          <t>Prepared for: Mr. Spock — Logical Investor</t>
        </is>
      </c>
    </row>
    <row r="5">
      <c r="A5" s="4" t="inlineStr">
        <is>
          <t>A hypothetical growth-oriented investor in the accumulation phase, governed by a fixed sizing table, a 25% theme-concentration cap, and a wall-clock-derived glide path. See investor-profile.md for the full mandate. Zero real personal data underlies this profile.</t>
        </is>
      </c>
    </row>
    <row r="6"/>
    <row r="7"/>
    <row r="8"/>
    <row r="9"/>
    <row r="10">
      <c r="A10" s="5" t="inlineStr">
        <is>
          <t>Glide-Path Phase</t>
        </is>
      </c>
      <c r="B10" t="inlineStr">
        <is>
          <t>Accumulation</t>
        </is>
      </c>
    </row>
    <row r="11">
      <c r="A11" s="5" t="inlineStr">
        <is>
          <t>Cycle #</t>
        </is>
      </c>
      <c r="B11" t="n">
        <v>2</v>
      </c>
    </row>
    <row r="12"/>
    <row r="13">
      <c r="A13" s="4" t="inlineStr">
        <is>
          <t>IMPORTANT: This is a paper/model portfolio for evaluation purposes only, tracked with public market data alone (no personal financial context). It does not constitute investment advice or a recommendation to buy or sell any security. All investments involve risk, including potential loss of principal. Always consult with qualified financial professionals before making investment decisions.</t>
        </is>
      </c>
    </row>
    <row r="14"/>
    <row r="15"/>
    <row r="16"/>
  </sheetData>
  <mergeCells count="3">
    <mergeCell ref="A1:D1"/>
    <mergeCell ref="A5:D8"/>
    <mergeCell ref="A13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9" customWidth="1" min="3" max="3"/>
    <col width="22" customWidth="1" min="4" max="4"/>
  </cols>
  <sheetData>
    <row r="1">
      <c r="A1" s="6" t="inlineStr">
        <is>
          <t>SUMMARY</t>
        </is>
      </c>
    </row>
    <row r="2"/>
    <row r="3">
      <c r="A3" s="7" t="inlineStr">
        <is>
          <t>Metric</t>
        </is>
      </c>
      <c r="B3" s="7" t="inlineStr">
        <is>
          <t>This Portfolio</t>
        </is>
      </c>
      <c r="C3" s="7" t="inlineStr">
        <is>
          <t>Blended Benchmark</t>
        </is>
      </c>
      <c r="D3" s="7" t="inlineStr">
        <is>
          <t>SPY</t>
        </is>
      </c>
    </row>
    <row r="4">
      <c r="A4" s="5" t="inlineStr">
        <is>
          <t>NAV</t>
        </is>
      </c>
      <c r="B4" t="n">
        <v>100000</v>
      </c>
    </row>
    <row r="5">
      <c r="A5" s="5" t="inlineStr">
        <is>
          <t>Period Return %</t>
        </is>
      </c>
      <c r="B5" t="n">
        <v>0</v>
      </c>
      <c r="D5" t="n">
        <v>0</v>
      </c>
    </row>
    <row r="6">
      <c r="A6" s="5" t="inlineStr">
        <is>
          <t>Since-Inception Return %</t>
        </is>
      </c>
      <c r="B6" t="n">
        <v>0</v>
      </c>
      <c r="D6" t="n">
        <v>0</v>
      </c>
    </row>
    <row r="7"/>
    <row r="8">
      <c r="A8" s="8" t="inlineStr">
        <is>
          <t>SLEEVE DRIFT VS. TARGET</t>
        </is>
      </c>
    </row>
    <row r="9">
      <c r="A9" s="9" t="inlineStr">
        <is>
          <t>Sleeve</t>
        </is>
      </c>
      <c r="B9" s="9" t="inlineStr">
        <is>
          <t>Target %</t>
        </is>
      </c>
      <c r="C9" s="9" t="inlineStr">
        <is>
          <t>Current %</t>
        </is>
      </c>
      <c r="D9" s="9" t="inlineStr">
        <is>
          <t>Drift</t>
        </is>
      </c>
    </row>
    <row r="10">
      <c r="A10" t="inlineStr">
        <is>
          <t>Individual Stocks</t>
        </is>
      </c>
      <c r="B10" t="n">
        <v>0.5</v>
      </c>
      <c r="C10" t="n">
        <v>0.4906</v>
      </c>
      <c r="D10" t="n">
        <v>-0.009400000000000019</v>
      </c>
    </row>
    <row r="11">
      <c r="A11" t="inlineStr">
        <is>
          <t>Sector ETFs</t>
        </is>
      </c>
      <c r="B11" t="n">
        <v>0.2</v>
      </c>
      <c r="C11" t="n">
        <v>0.1655</v>
      </c>
      <c r="D11" t="n">
        <v>-0.0345</v>
      </c>
    </row>
    <row r="12">
      <c r="A12" t="inlineStr">
        <is>
          <t>Hedge (GLD/IAU)</t>
        </is>
      </c>
      <c r="B12" t="n">
        <v>0.07000000000000001</v>
      </c>
      <c r="C12" t="n">
        <v>0</v>
      </c>
      <c r="D12" t="n">
        <v>-0.07000000000000001</v>
      </c>
    </row>
    <row r="13">
      <c r="A13" t="inlineStr">
        <is>
          <t>Bonds (AGG)</t>
        </is>
      </c>
      <c r="B13" t="n">
        <v>0.13</v>
      </c>
      <c r="C13" t="n">
        <v>0.0803</v>
      </c>
      <c r="D13" t="n">
        <v>-0.04970000000000001</v>
      </c>
    </row>
    <row r="14">
      <c r="A14" t="inlineStr">
        <is>
          <t>Cash (floor 10%)</t>
        </is>
      </c>
      <c r="B14" t="n">
        <v>0.1</v>
      </c>
      <c r="C14" t="n">
        <v>0.2637</v>
      </c>
      <c r="D14" t="n">
        <v>0.1637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3" customWidth="1" min="5" max="5"/>
    <col width="15" customWidth="1" min="6" max="6"/>
    <col width="11" customWidth="1" min="7" max="7"/>
    <col width="10" customWidth="1" min="8" max="8"/>
    <col width="16" customWidth="1" min="9" max="9"/>
  </cols>
  <sheetData>
    <row r="1">
      <c r="A1" s="7" t="inlineStr">
        <is>
          <t>Ticker</t>
        </is>
      </c>
      <c r="B1" s="7" t="inlineStr">
        <is>
          <t>Type</t>
        </is>
      </c>
      <c r="C1" s="7" t="inlineStr">
        <is>
          <t>Theme</t>
        </is>
      </c>
      <c r="D1" s="7" t="inlineStr">
        <is>
          <t>Shares</t>
        </is>
      </c>
      <c r="E1" s="7" t="inlineStr">
        <is>
          <t>Entry Price</t>
        </is>
      </c>
      <c r="F1" s="7" t="inlineStr">
        <is>
          <t>Current Price</t>
        </is>
      </c>
      <c r="G1" s="7" t="inlineStr">
        <is>
          <t>Mkt Value</t>
        </is>
      </c>
      <c r="H1" s="7" t="inlineStr">
        <is>
          <t>% NAV</t>
        </is>
      </c>
      <c r="I1" s="7" t="inlineStr">
        <is>
          <t>Unrealized G/L</t>
        </is>
      </c>
    </row>
    <row r="2">
      <c r="A2" t="inlineStr">
        <is>
          <t>AVGO</t>
        </is>
      </c>
      <c r="B2" t="inlineStr">
        <is>
          <t>Stock</t>
        </is>
      </c>
      <c r="C2" t="inlineStr">
        <is>
          <t>AI-Capex</t>
        </is>
      </c>
      <c r="D2" t="n">
        <v>14</v>
      </c>
      <c r="E2" t="n">
        <v>357.56</v>
      </c>
      <c r="F2" t="n">
        <v>357.56</v>
      </c>
      <c r="G2" t="n">
        <v>5005.84</v>
      </c>
      <c r="H2" t="n">
        <v>0.0501</v>
      </c>
      <c r="I2" t="n">
        <v>0</v>
      </c>
    </row>
    <row r="3">
      <c r="A3" t="inlineStr">
        <is>
          <t>ETN</t>
        </is>
      </c>
      <c r="B3" t="inlineStr">
        <is>
          <t>Stock</t>
        </is>
      </c>
      <c r="C3" t="inlineStr">
        <is>
          <t>Energy-Transition</t>
        </is>
      </c>
      <c r="D3" t="n">
        <v>12</v>
      </c>
      <c r="E3" t="n">
        <v>412.97</v>
      </c>
      <c r="F3" t="n">
        <v>412.97</v>
      </c>
      <c r="G3" t="n">
        <v>4955.64</v>
      </c>
      <c r="H3" t="n">
        <v>0.0496</v>
      </c>
      <c r="I3" t="n">
        <v>0</v>
      </c>
    </row>
    <row r="4">
      <c r="A4" t="inlineStr">
        <is>
          <t>COF</t>
        </is>
      </c>
      <c r="B4" t="inlineStr">
        <is>
          <t>Stock</t>
        </is>
      </c>
      <c r="C4" t="inlineStr">
        <is>
          <t>Financials</t>
        </is>
      </c>
      <c r="D4" t="n">
        <v>23</v>
      </c>
      <c r="E4" t="n">
        <v>216.96</v>
      </c>
      <c r="F4" t="n">
        <v>216.96</v>
      </c>
      <c r="G4" t="n">
        <v>4990.08</v>
      </c>
      <c r="H4" t="n">
        <v>0.0499</v>
      </c>
      <c r="I4" t="n">
        <v>0</v>
      </c>
    </row>
    <row r="5">
      <c r="A5" t="inlineStr">
        <is>
          <t>LLY</t>
        </is>
      </c>
      <c r="B5" t="inlineStr">
        <is>
          <t>Stock</t>
        </is>
      </c>
      <c r="C5" t="inlineStr">
        <is>
          <t>Healthcare-GLP1</t>
        </is>
      </c>
      <c r="D5" t="n">
        <v>4</v>
      </c>
      <c r="E5" t="n">
        <v>1215.13</v>
      </c>
      <c r="F5" t="n">
        <v>1215.13</v>
      </c>
      <c r="G5" t="n">
        <v>4860.52</v>
      </c>
      <c r="H5" t="n">
        <v>0.0486</v>
      </c>
      <c r="I5" t="n">
        <v>0</v>
      </c>
    </row>
    <row r="6">
      <c r="A6" t="inlineStr">
        <is>
          <t>TJX</t>
        </is>
      </c>
      <c r="B6" t="inlineStr">
        <is>
          <t>Stock</t>
        </is>
      </c>
      <c r="C6" t="inlineStr">
        <is>
          <t>Consumer-Defensive</t>
        </is>
      </c>
      <c r="D6" t="n">
        <v>35</v>
      </c>
      <c r="E6" t="n">
        <v>139.48</v>
      </c>
      <c r="F6" t="n">
        <v>139.48</v>
      </c>
      <c r="G6" t="n">
        <v>4881.8</v>
      </c>
      <c r="H6" t="n">
        <v>0.0488</v>
      </c>
      <c r="I6" t="n">
        <v>0</v>
      </c>
    </row>
    <row r="7">
      <c r="A7" t="inlineStr">
        <is>
          <t>GOOGL</t>
        </is>
      </c>
      <c r="B7" t="inlineStr">
        <is>
          <t>Stock</t>
        </is>
      </c>
      <c r="C7" t="inlineStr">
        <is>
          <t>AI-Capex</t>
        </is>
      </c>
      <c r="D7" t="n">
        <v>14</v>
      </c>
      <c r="E7" t="n">
        <v>341.95</v>
      </c>
      <c r="F7" t="n">
        <v>341.95</v>
      </c>
      <c r="G7" t="n">
        <v>4787.3</v>
      </c>
      <c r="H7" t="n">
        <v>0.0479</v>
      </c>
      <c r="I7" t="n">
        <v>0</v>
      </c>
    </row>
    <row r="8">
      <c r="A8" t="inlineStr">
        <is>
          <t>BALL</t>
        </is>
      </c>
      <c r="B8" t="inlineStr">
        <is>
          <t>Stock</t>
        </is>
      </c>
      <c r="C8" t="inlineStr">
        <is>
          <t>Materials</t>
        </is>
      </c>
      <c r="D8" t="n">
        <v>81</v>
      </c>
      <c r="E8" t="n">
        <v>61.3</v>
      </c>
      <c r="F8" t="n">
        <v>61.3</v>
      </c>
      <c r="G8" t="n">
        <v>4965.3</v>
      </c>
      <c r="H8" t="n">
        <v>0.0497</v>
      </c>
      <c r="I8" t="n">
        <v>0</v>
      </c>
    </row>
    <row r="9">
      <c r="A9" t="inlineStr">
        <is>
          <t>PEP</t>
        </is>
      </c>
      <c r="B9" t="inlineStr">
        <is>
          <t>Stock</t>
        </is>
      </c>
      <c r="C9" t="inlineStr">
        <is>
          <t>Consumer-Defensive</t>
        </is>
      </c>
      <c r="D9" t="n">
        <v>35</v>
      </c>
      <c r="E9" t="n">
        <v>142.27</v>
      </c>
      <c r="F9" t="n">
        <v>142.27</v>
      </c>
      <c r="G9" t="n">
        <v>4979.45</v>
      </c>
      <c r="H9" t="n">
        <v>0.0498</v>
      </c>
      <c r="I9" t="n">
        <v>0</v>
      </c>
    </row>
    <row r="10">
      <c r="A10" t="inlineStr">
        <is>
          <t>NEE</t>
        </is>
      </c>
      <c r="B10" t="inlineStr">
        <is>
          <t>Stock</t>
        </is>
      </c>
      <c r="C10" t="inlineStr">
        <is>
          <t>AI-Capex</t>
        </is>
      </c>
      <c r="D10" t="n">
        <v>59</v>
      </c>
      <c r="E10" t="n">
        <v>84.29000000000001</v>
      </c>
      <c r="F10" t="n">
        <v>84.29000000000001</v>
      </c>
      <c r="G10" t="n">
        <v>4973.11</v>
      </c>
      <c r="H10" t="n">
        <v>0.0497</v>
      </c>
      <c r="I10" t="n">
        <v>0</v>
      </c>
    </row>
    <row r="11">
      <c r="A11" t="inlineStr">
        <is>
          <t>MU</t>
        </is>
      </c>
      <c r="B11" t="inlineStr">
        <is>
          <t>Stock</t>
        </is>
      </c>
      <c r="C11" t="inlineStr">
        <is>
          <t>AI-Capex</t>
        </is>
      </c>
      <c r="D11" t="n">
        <v>5</v>
      </c>
      <c r="E11" t="n">
        <v>930.25</v>
      </c>
      <c r="F11" t="n">
        <v>930.25</v>
      </c>
      <c r="G11" t="n">
        <v>4651.25</v>
      </c>
      <c r="H11" t="n">
        <v>0.0465</v>
      </c>
      <c r="I11" t="n">
        <v>0</v>
      </c>
    </row>
    <row r="12">
      <c r="A12" t="inlineStr">
        <is>
          <t>XLK</t>
        </is>
      </c>
      <c r="B12" t="inlineStr">
        <is>
          <t>Sector ETF</t>
        </is>
      </c>
      <c r="C12" t="inlineStr">
        <is>
          <t>AI-Capex</t>
        </is>
      </c>
      <c r="D12" t="n">
        <v>30</v>
      </c>
      <c r="E12" t="n">
        <v>186</v>
      </c>
      <c r="F12" t="n">
        <v>186</v>
      </c>
      <c r="G12" t="n">
        <v>5580</v>
      </c>
      <c r="H12" t="n">
        <v>0.0558</v>
      </c>
      <c r="I12" t="n">
        <v>0</v>
      </c>
    </row>
    <row r="13">
      <c r="A13" t="inlineStr">
        <is>
          <t>XLI</t>
        </is>
      </c>
      <c r="B13" t="inlineStr">
        <is>
          <t>Sector ETF</t>
        </is>
      </c>
      <c r="C13" t="inlineStr">
        <is>
          <t>Energy-Transition</t>
        </is>
      </c>
      <c r="D13" t="n">
        <v>59</v>
      </c>
      <c r="E13" t="n">
        <v>185.96</v>
      </c>
      <c r="F13" t="n">
        <v>185.96</v>
      </c>
      <c r="G13" t="n">
        <v>10971.64</v>
      </c>
      <c r="H13" t="n">
        <v>0.1097</v>
      </c>
      <c r="I13" t="n">
        <v>0</v>
      </c>
    </row>
    <row r="14">
      <c r="A14" t="inlineStr">
        <is>
          <t>AGG</t>
        </is>
      </c>
      <c r="B14" t="inlineStr">
        <is>
          <t>Bond</t>
        </is>
      </c>
      <c r="C14" t="inlineStr">
        <is>
          <t>Diversified-Core</t>
        </is>
      </c>
      <c r="D14" t="n">
        <v>82</v>
      </c>
      <c r="E14" t="n">
        <v>97.90000000000001</v>
      </c>
      <c r="F14" t="n">
        <v>97.90000000000001</v>
      </c>
      <c r="G14" t="n">
        <v>8027.8</v>
      </c>
      <c r="H14" t="n">
        <v>0.0803</v>
      </c>
      <c r="I14" t="n">
        <v>0</v>
      </c>
    </row>
    <row r="15">
      <c r="A15" t="inlineStr">
        <is>
          <t>Cash</t>
        </is>
      </c>
      <c r="B15" t="inlineStr">
        <is>
          <t>Cash</t>
        </is>
      </c>
      <c r="C15" t="inlineStr">
        <is>
          <t>—</t>
        </is>
      </c>
      <c r="G15" t="n">
        <v>26370.27</v>
      </c>
      <c r="H15" t="n">
        <v>0.2637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>
      <c r="A1" s="7" t="inlineStr">
        <is>
          <t>Date</t>
        </is>
      </c>
      <c r="B1" s="7" t="inlineStr">
        <is>
          <t>Ticker</t>
        </is>
      </c>
      <c r="C1" s="7" t="inlineStr">
        <is>
          <t>Action</t>
        </is>
      </c>
      <c r="D1" s="7" t="inlineStr">
        <is>
          <t>Shares</t>
        </is>
      </c>
      <c r="E1" s="7" t="inlineStr">
        <is>
          <t>Price</t>
        </is>
      </c>
      <c r="F1" s="7" t="inlineStr">
        <is>
          <t>Rationale</t>
        </is>
      </c>
    </row>
    <row r="2">
      <c r="A2" t="inlineStr">
        <is>
          <t>2026-09-05</t>
        </is>
      </c>
      <c r="B2" t="inlineStr">
        <is>
          <t>XLK</t>
        </is>
      </c>
      <c r="C2" t="inlineStr">
        <is>
          <t>TRIM</t>
        </is>
      </c>
      <c r="D2" t="n">
        <v>-29</v>
      </c>
      <c r="E2" t="n">
        <v>186</v>
      </c>
      <c r="F2" s="4" t="inlineStr">
        <is>
          <t>Rebalance — rules change (not a thesis exit). Introduced the 25% theme-concentration cap; AI-Capex (AVGO, GOOGL, NEE, MU, XLK) had drifted to 30.39% NAV. Trimmed XLK from 59 sh to 30 sh, proceeds routed to cash, bringing AI-Capex to 25.00% NAV. No fundamental thesis changed for any of the five AI-Capex positions.</t>
        </is>
      </c>
    </row>
    <row r="3">
      <c r="A3" t="inlineStr">
        <is>
          <t>2026-08-26</t>
        </is>
      </c>
      <c r="B3" t="inlineStr">
        <is>
          <t>LLY</t>
        </is>
      </c>
      <c r="C3" t="inlineStr">
        <is>
          <t>BUY</t>
        </is>
      </c>
      <c r="D3" t="n">
        <v>4</v>
      </c>
      <c r="E3" t="n">
        <v>1215.13</v>
      </c>
      <c r="F3" s="4" t="inlineStr">
        <is>
          <t>Q2 2026 revenue +47.7% YoY, EPS beat, raised FY2026 guidance. GLP-1 franchise demand catalyst. Entered on a down day. Stop: guidance cut or GLP-1 share loss.</t>
        </is>
      </c>
    </row>
    <row r="4">
      <c r="A4" t="inlineStr">
        <is>
          <t>2026-08-26</t>
        </is>
      </c>
      <c r="B4" t="inlineStr">
        <is>
          <t>TJX</t>
        </is>
      </c>
      <c r="C4" t="inlineStr">
        <is>
          <t>BUY</t>
        </is>
      </c>
      <c r="D4" t="n">
        <v>35</v>
      </c>
      <c r="E4" t="n">
        <v>139.48</v>
      </c>
      <c r="F4" s="4" t="inlineStr">
        <is>
          <t>Off-price model delivering 5% comps; steady grower, not chasing an all-time high. Diversification into defensive-leaning consumer discretionary.</t>
        </is>
      </c>
    </row>
    <row r="5">
      <c r="A5" t="inlineStr">
        <is>
          <t>2026-08-26</t>
        </is>
      </c>
      <c r="B5" t="inlineStr">
        <is>
          <t>GOOGL</t>
        </is>
      </c>
      <c r="C5" t="inlineStr">
        <is>
          <t>BUY</t>
        </is>
      </c>
      <c r="D5" t="n">
        <v>14</v>
      </c>
      <c r="E5" t="n">
        <v>341.95</v>
      </c>
      <c r="F5" s="4" t="inlineStr">
        <is>
          <t>Accelerating Google Cloud AI adoption; BNP Paribas Outperform, $420 target. Entered on a down day. Diversification into communication services.</t>
        </is>
      </c>
    </row>
    <row r="6">
      <c r="A6" t="inlineStr">
        <is>
          <t>2026-08-26</t>
        </is>
      </c>
      <c r="B6" t="inlineStr">
        <is>
          <t>BALL</t>
        </is>
      </c>
      <c r="C6" t="inlineStr">
        <is>
          <t>BUY</t>
        </is>
      </c>
      <c r="D6" t="n">
        <v>81</v>
      </c>
      <c r="E6" t="n">
        <v>61.3</v>
      </c>
      <c r="F6" s="4" t="inlineStr">
        <is>
          <t>Analysts raised fair-value estimate to $63.26; aluminum-packaging demand recovery. Diversification into materials.</t>
        </is>
      </c>
    </row>
    <row r="7">
      <c r="A7" t="inlineStr">
        <is>
          <t>2026-08-26</t>
        </is>
      </c>
      <c r="B7" t="inlineStr">
        <is>
          <t>PEP</t>
        </is>
      </c>
      <c r="C7" t="inlineStr">
        <is>
          <t>BUY</t>
        </is>
      </c>
      <c r="D7" t="n">
        <v>35</v>
      </c>
      <c r="E7" t="n">
        <v>142.27</v>
      </c>
      <c r="F7" s="4" t="inlineStr">
        <is>
          <t>Organic volume growth accelerating to +1% as streamlining pays off; trading below 12-month average target. Diversification into consumer staples.</t>
        </is>
      </c>
    </row>
    <row r="8">
      <c r="A8" t="inlineStr">
        <is>
          <t>2026-08-26</t>
        </is>
      </c>
      <c r="B8" t="inlineStr">
        <is>
          <t>NEE</t>
        </is>
      </c>
      <c r="C8" t="inlineStr">
        <is>
          <t>BUY</t>
        </is>
      </c>
      <c r="D8" t="n">
        <v>59</v>
      </c>
      <c r="E8" t="n">
        <v>84.29000000000001</v>
      </c>
      <c r="F8" s="4" t="inlineStr">
        <is>
          <t>$100B data-center campus JV with Brookfield; 21GW large-load pipeline. Diversification into utilities, direct AI power-demand exposure.</t>
        </is>
      </c>
    </row>
    <row r="9">
      <c r="A9" t="inlineStr">
        <is>
          <t>2026-08-26</t>
        </is>
      </c>
      <c r="B9" t="inlineStr">
        <is>
          <t>MU</t>
        </is>
      </c>
      <c r="C9" t="inlineStr">
        <is>
          <t>BUY</t>
        </is>
      </c>
      <c r="D9" t="n">
        <v>5</v>
      </c>
      <c r="E9" t="n">
        <v>930.25</v>
      </c>
      <c r="F9" s="4" t="inlineStr">
        <is>
          <t>Fiscal Q2 revenue +196% YoY; HBM supply sold out for 2026. Morgan Stanley top 2026 semiconductor pick. Second AI-infrastructure name (memory vs. networking).</t>
        </is>
      </c>
    </row>
    <row r="10">
      <c r="A10" t="inlineStr">
        <is>
          <t>2026-08-26</t>
        </is>
      </c>
      <c r="B10" t="inlineStr">
        <is>
          <t>XLK</t>
        </is>
      </c>
      <c r="C10" t="inlineStr">
        <is>
          <t>BUY</t>
        </is>
      </c>
      <c r="D10" t="n">
        <v>59</v>
      </c>
      <c r="E10" t="n">
        <v>186</v>
      </c>
      <c r="F10" s="4" t="inlineStr">
        <is>
          <t>W4 sector-rotation scan: Tech receiving dominant share of 2026 sector inflows, driven by AI capex. Top accumulation-signal sector.</t>
        </is>
      </c>
    </row>
    <row r="11">
      <c r="A11" t="inlineStr">
        <is>
          <t>2026-08-26</t>
        </is>
      </c>
      <c r="B11" t="inlineStr">
        <is>
          <t>XLI</t>
        </is>
      </c>
      <c r="C11" t="inlineStr">
        <is>
          <t>BUY</t>
        </is>
      </c>
      <c r="D11" t="n">
        <v>59</v>
      </c>
      <c r="E11" t="n">
        <v>185.96</v>
      </c>
      <c r="F11" s="4" t="inlineStr">
        <is>
          <t>Best-performing S&amp;P sector YTD 2026 (+19.5%); AI-data-center power/cooling capex and reshoring/logistics demand.</t>
        </is>
      </c>
    </row>
    <row r="12">
      <c r="A12" t="inlineStr">
        <is>
          <t>2026-08-26</t>
        </is>
      </c>
      <c r="B12" t="inlineStr">
        <is>
          <t>AVGO</t>
        </is>
      </c>
      <c r="C12" t="inlineStr">
        <is>
          <t>BUY</t>
        </is>
      </c>
      <c r="D12" t="n">
        <v>14</v>
      </c>
      <c r="E12" t="n">
        <v>357.56</v>
      </c>
      <c r="F12" s="4" t="inlineStr">
        <is>
          <t>Record $22.1B quarterly revenue, 25.2% YoY growth, 54.7% EBITDA margin. AI custom-silicon/networking demand tailwind.</t>
        </is>
      </c>
    </row>
    <row r="13">
      <c r="A13" t="inlineStr">
        <is>
          <t>2026-08-26</t>
        </is>
      </c>
      <c r="B13" t="inlineStr">
        <is>
          <t>ETN</t>
        </is>
      </c>
      <c r="C13" t="inlineStr">
        <is>
          <t>BUY</t>
        </is>
      </c>
      <c r="D13" t="n">
        <v>12</v>
      </c>
      <c r="E13" t="n">
        <v>412.97</v>
      </c>
      <c r="F13" s="4" t="inlineStr">
        <is>
          <t>Q2 2026 EPS/revenue beat, record 23.1% margin, backlog +43% YoY. Data-center power/cooling demand confirms XLI thesis.</t>
        </is>
      </c>
    </row>
    <row r="14">
      <c r="A14" t="inlineStr">
        <is>
          <t>2026-08-26</t>
        </is>
      </c>
      <c r="B14" t="inlineStr">
        <is>
          <t>COF</t>
        </is>
      </c>
      <c r="C14" t="inlineStr">
        <is>
          <t>BUY</t>
        </is>
      </c>
      <c r="D14" t="n">
        <v>23</v>
      </c>
      <c r="E14" t="n">
        <v>216.96</v>
      </c>
      <c r="F14" s="4" t="inlineStr">
        <is>
          <t>Q2 2026 revenue +26% YoY; P/E compressed to ~12.2x. Discover acquisition integration driving growth. Diversification outside AI-infrastructure theme.</t>
        </is>
      </c>
    </row>
    <row r="15">
      <c r="A15" t="inlineStr">
        <is>
          <t>2026-08-26</t>
        </is>
      </c>
      <c r="B15" t="inlineStr">
        <is>
          <t>AGG</t>
        </is>
      </c>
      <c r="C15" t="inlineStr">
        <is>
          <t>BUY</t>
        </is>
      </c>
      <c r="D15" t="n">
        <v>82</v>
      </c>
      <c r="E15" t="n">
        <v>97.90000000000001</v>
      </c>
      <c r="F15" s="4" t="inlineStr">
        <is>
          <t>Passive core bond sleeve per fixed sizing rules, ~4.06% dividend yield.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9" customWidth="1" min="3" max="3"/>
    <col width="10" customWidth="1" min="4" max="4"/>
  </cols>
  <sheetData>
    <row r="1">
      <c r="A1" t="inlineStr">
        <is>
          <t>Theme</t>
        </is>
      </c>
      <c r="B1" t="inlineStr">
        <is>
          <t>% NAV</t>
        </is>
      </c>
    </row>
    <row r="2">
      <c r="A2" t="inlineStr">
        <is>
          <t>AI-Capex</t>
        </is>
      </c>
      <c r="B2" t="n">
        <v>0.25</v>
      </c>
    </row>
    <row r="3">
      <c r="A3" t="inlineStr">
        <is>
          <t>Financials</t>
        </is>
      </c>
      <c r="B3" t="n">
        <v>0.0499</v>
      </c>
    </row>
    <row r="4">
      <c r="A4" t="inlineStr">
        <is>
          <t>Healthcare-GLP1</t>
        </is>
      </c>
      <c r="B4" t="n">
        <v>0.0486</v>
      </c>
    </row>
    <row r="5">
      <c r="A5" t="inlineStr">
        <is>
          <t>Consumer-Defensive</t>
        </is>
      </c>
      <c r="B5" t="n">
        <v>0.09859999999999999</v>
      </c>
    </row>
    <row r="6">
      <c r="A6" t="inlineStr">
        <is>
          <t>Energy-Transition</t>
        </is>
      </c>
      <c r="B6" t="n">
        <v>0.1593</v>
      </c>
    </row>
    <row r="7">
      <c r="A7" t="inlineStr">
        <is>
          <t>Materials</t>
        </is>
      </c>
      <c r="B7" t="n">
        <v>0.0497</v>
      </c>
    </row>
    <row r="8">
      <c r="A8" t="inlineStr">
        <is>
          <t>Diversified-Core</t>
        </is>
      </c>
      <c r="B8" t="n">
        <v>0.0803</v>
      </c>
    </row>
    <row r="9"/>
    <row r="10"/>
    <row r="11">
      <c r="A11" t="inlineStr">
        <is>
          <t>Cycle Date</t>
        </is>
      </c>
      <c r="B11" t="inlineStr">
        <is>
          <t>NAV</t>
        </is>
      </c>
      <c r="C11" t="inlineStr">
        <is>
          <t>Blended Benchmark</t>
        </is>
      </c>
      <c r="D11" t="inlineStr">
        <is>
          <t>SPY</t>
        </is>
      </c>
    </row>
    <row r="12">
      <c r="A12" t="inlineStr">
        <is>
          <t>2026-08-26</t>
        </is>
      </c>
      <c r="B12" t="n">
        <v>100000</v>
      </c>
      <c r="D12" t="n">
        <v>766.08</v>
      </c>
    </row>
    <row r="13">
      <c r="A13" t="inlineStr">
        <is>
          <t>2026-09-05</t>
        </is>
      </c>
      <c r="B13" t="n">
        <v>100000</v>
      </c>
      <c r="D13" t="n">
        <v>766.08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2026-09-05T21:37:23Z</dcterms:created>
  <dcterms:modified xmlns:dcterms="http://purl.org/dc/terms/" xmlns:xsi="http://www.w3.org/2001/XMLSchema-instance" xsi:type="dcterms:W3CDTF">2026-09-05T21:37:23Z</dcterms:modified>
</cp:coreProperties>
</file>